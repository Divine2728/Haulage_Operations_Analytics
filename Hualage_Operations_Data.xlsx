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IVINE AND WORKS\"/>
    </mc:Choice>
  </mc:AlternateContent>
  <bookViews>
    <workbookView xWindow="0" yWindow="0" windowWidth="20490" windowHeight="7155" activeTab="1"/>
  </bookViews>
  <sheets>
    <sheet name="Raw Data" sheetId="1" r:id="rId1"/>
    <sheet name="Bussiness Questions" sheetId="2" r:id="rId2"/>
    <sheet name="Cleaned Data" sheetId="3" r:id="rId3"/>
    <sheet name="Cleaning Not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3" l="1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</calcChain>
</file>

<file path=xl/sharedStrings.xml><?xml version="1.0" encoding="utf-8"?>
<sst xmlns="http://schemas.openxmlformats.org/spreadsheetml/2006/main" count="2289" uniqueCount="432">
  <si>
    <t>Trip ID</t>
  </si>
  <si>
    <t>Date</t>
  </si>
  <si>
    <t>Truck ID</t>
  </si>
  <si>
    <t>Plate Number</t>
  </si>
  <si>
    <t>Driver</t>
  </si>
  <si>
    <t>Origin</t>
  </si>
  <si>
    <t>Destination</t>
  </si>
  <si>
    <t>Departure Time</t>
  </si>
  <si>
    <t>Arrival Time</t>
  </si>
  <si>
    <t>Distance (km)</t>
  </si>
  <si>
    <t>Trip Duration (hrs)</t>
  </si>
  <si>
    <t>Goods Type</t>
  </si>
  <si>
    <t>Quantity</t>
  </si>
  <si>
    <t>Fuel Used (L)</t>
  </si>
  <si>
    <t>Fuel Cost (NGN)</t>
  </si>
  <si>
    <t>Driver Allowance (NGN)</t>
  </si>
  <si>
    <t>Toll Cost (NGN)</t>
  </si>
  <si>
    <t>Maintenance Cost (NGN)</t>
  </si>
  <si>
    <t>Total Trip Cost (NGN)</t>
  </si>
  <si>
    <t>Trip Status</t>
  </si>
  <si>
    <t>On-Time (Y/N)</t>
  </si>
  <si>
    <t>TRP0001</t>
  </si>
  <si>
    <t>2025-08-03</t>
  </si>
  <si>
    <t>TR004</t>
  </si>
  <si>
    <t>KJA-328-BB</t>
  </si>
  <si>
    <t>Suleiman Abubakar</t>
  </si>
  <si>
    <t>Benin City</t>
  </si>
  <si>
    <t>Port Harcourt</t>
  </si>
  <si>
    <t>06:45</t>
  </si>
  <si>
    <t>07:51</t>
  </si>
  <si>
    <t>Building Materials</t>
  </si>
  <si>
    <t>Delayed</t>
  </si>
  <si>
    <t>N</t>
  </si>
  <si>
    <t>TRP0002</t>
  </si>
  <si>
    <t>2025-05-16</t>
  </si>
  <si>
    <t>TR013</t>
  </si>
  <si>
    <t>KJA-674-BB</t>
  </si>
  <si>
    <t>Musa Ibrahim</t>
  </si>
  <si>
    <t>Owerri</t>
  </si>
  <si>
    <t>Onitsha</t>
  </si>
  <si>
    <t>05:45</t>
  </si>
  <si>
    <t>18:57</t>
  </si>
  <si>
    <t>Agricultural Produce</t>
  </si>
  <si>
    <t>In Transit</t>
  </si>
  <si>
    <t>N/A</t>
  </si>
  <si>
    <t>TRP0003</t>
  </si>
  <si>
    <t>2025-05-29</t>
  </si>
  <si>
    <t>TR002</t>
  </si>
  <si>
    <t>KJA-125-GH</t>
  </si>
  <si>
    <t>Grace Effiong</t>
  </si>
  <si>
    <t>Lagos</t>
  </si>
  <si>
    <t>Maiduguri</t>
  </si>
  <si>
    <t>08:30</t>
  </si>
  <si>
    <t>12:42</t>
  </si>
  <si>
    <t>Rice (50kg bags)</t>
  </si>
  <si>
    <t>TRP0004</t>
  </si>
  <si>
    <t>2025-03-29</t>
  </si>
  <si>
    <t>TR009</t>
  </si>
  <si>
    <t>KJA-132-AA</t>
  </si>
  <si>
    <t>Amina Yakubu</t>
  </si>
  <si>
    <t>Kano</t>
  </si>
  <si>
    <t>17:30</t>
  </si>
  <si>
    <t>Furniture</t>
  </si>
  <si>
    <t>TRP0005</t>
  </si>
  <si>
    <t>2025-06-11</t>
  </si>
  <si>
    <t>TR007</t>
  </si>
  <si>
    <t>KJA-658-AA</t>
  </si>
  <si>
    <t>Emeka Nwosu</t>
  </si>
  <si>
    <t>Abuja</t>
  </si>
  <si>
    <t>07:15</t>
  </si>
  <si>
    <t>20:33</t>
  </si>
  <si>
    <t>Cartons of Detergent</t>
  </si>
  <si>
    <t>TRP0006</t>
  </si>
  <si>
    <t>2025-05-15</t>
  </si>
  <si>
    <t>TR012</t>
  </si>
  <si>
    <t>KJA-716-AA</t>
  </si>
  <si>
    <t>Yusuf Garba</t>
  </si>
  <si>
    <t>Enugu</t>
  </si>
  <si>
    <t>14:15</t>
  </si>
  <si>
    <t>TRP0007</t>
  </si>
  <si>
    <t>2025-08-05</t>
  </si>
  <si>
    <t>TR010</t>
  </si>
  <si>
    <t>KJA-195-BB</t>
  </si>
  <si>
    <t>Chidi Okafor</t>
  </si>
  <si>
    <t>Warri</t>
  </si>
  <si>
    <t>20:06</t>
  </si>
  <si>
    <t>Beverages</t>
  </si>
  <si>
    <t>Completed</t>
  </si>
  <si>
    <t>Y</t>
  </si>
  <si>
    <t>TRP0008</t>
  </si>
  <si>
    <t>2025-05-31</t>
  </si>
  <si>
    <t>Aisha Bello</t>
  </si>
  <si>
    <t>Kaduna</t>
  </si>
  <si>
    <t>21:27</t>
  </si>
  <si>
    <t>Textiles</t>
  </si>
  <si>
    <t>TRP0009</t>
  </si>
  <si>
    <t>2025-01-01</t>
  </si>
  <si>
    <t>Fatima Sani</t>
  </si>
  <si>
    <t>07:30</t>
  </si>
  <si>
    <t>11:00</t>
  </si>
  <si>
    <t>TRP0010</t>
  </si>
  <si>
    <t>2025-03-06</t>
  </si>
  <si>
    <t>TR003</t>
  </si>
  <si>
    <t>KJA-381-BB</t>
  </si>
  <si>
    <t>Chinedu Okoro</t>
  </si>
  <si>
    <t>Jos</t>
  </si>
  <si>
    <t>07:45</t>
  </si>
  <si>
    <t>12:39</t>
  </si>
  <si>
    <t>Electronics</t>
  </si>
  <si>
    <t>TRP0011</t>
  </si>
  <si>
    <t>2025-03-03</t>
  </si>
  <si>
    <t>Tunde Adeyemi</t>
  </si>
  <si>
    <t>Ibadan</t>
  </si>
  <si>
    <t>09:15</t>
  </si>
  <si>
    <t>10:57</t>
  </si>
  <si>
    <t>TRP0012</t>
  </si>
  <si>
    <t>2025-05-02</t>
  </si>
  <si>
    <t>TR005</t>
  </si>
  <si>
    <t>KJA-854-AA</t>
  </si>
  <si>
    <t>16:03</t>
  </si>
  <si>
    <t>Packaged Foods</t>
  </si>
  <si>
    <t>TRP0013</t>
  </si>
  <si>
    <t>2025-08-28</t>
  </si>
  <si>
    <t>TR014</t>
  </si>
  <si>
    <t>KJA-833-GH</t>
  </si>
  <si>
    <t>Aba</t>
  </si>
  <si>
    <t>05:00</t>
  </si>
  <si>
    <t>18:54</t>
  </si>
  <si>
    <t>Bagged Cement</t>
  </si>
  <si>
    <t>TRP0014</t>
  </si>
  <si>
    <t>2025-04-04</t>
  </si>
  <si>
    <t>08:00</t>
  </si>
  <si>
    <t>12:30</t>
  </si>
  <si>
    <t>TRP0015</t>
  </si>
  <si>
    <t>2025-09-04</t>
  </si>
  <si>
    <t>11:36</t>
  </si>
  <si>
    <t>TRP0016</t>
  </si>
  <si>
    <t>2025-04-08</t>
  </si>
  <si>
    <t>05:30</t>
  </si>
  <si>
    <t>19:30</t>
  </si>
  <si>
    <t>TRP0017</t>
  </si>
  <si>
    <t>2025-02-04</t>
  </si>
  <si>
    <t>TR011</t>
  </si>
  <si>
    <t>KJA-338-EF</t>
  </si>
  <si>
    <t>12:03</t>
  </si>
  <si>
    <t>TRP0018</t>
  </si>
  <si>
    <t>2025-04-15</t>
  </si>
  <si>
    <t>08:15</t>
  </si>
  <si>
    <t>10:33</t>
  </si>
  <si>
    <t>TRP0019</t>
  </si>
  <si>
    <t>2025-04-20</t>
  </si>
  <si>
    <t>06:30</t>
  </si>
  <si>
    <t>09:24</t>
  </si>
  <si>
    <t>TRP0020</t>
  </si>
  <si>
    <t>2025-02-23</t>
  </si>
  <si>
    <t>TR015</t>
  </si>
  <si>
    <t>KJA-818-EF</t>
  </si>
  <si>
    <t>13:21</t>
  </si>
  <si>
    <t>TRP0021</t>
  </si>
  <si>
    <t>2025-01-27</t>
  </si>
  <si>
    <t>11:24</t>
  </si>
  <si>
    <t>TRP0022</t>
  </si>
  <si>
    <t>2025-01-05</t>
  </si>
  <si>
    <t>09:00</t>
  </si>
  <si>
    <t>13:06</t>
  </si>
  <si>
    <t>TRP0023</t>
  </si>
  <si>
    <t>2025-04-18</t>
  </si>
  <si>
    <t>09:45</t>
  </si>
  <si>
    <t>17:15</t>
  </si>
  <si>
    <t>TRP0024</t>
  </si>
  <si>
    <t>2025-06-20</t>
  </si>
  <si>
    <t>Bala Mohammed</t>
  </si>
  <si>
    <t>Sokoto</t>
  </si>
  <si>
    <t>22:54</t>
  </si>
  <si>
    <t>TRP0025</t>
  </si>
  <si>
    <t>2025-06-06</t>
  </si>
  <si>
    <t>Peter Ogundipe</t>
  </si>
  <si>
    <t>05:15</t>
  </si>
  <si>
    <t>10:45</t>
  </si>
  <si>
    <t>TRP0026</t>
  </si>
  <si>
    <t>2025-01-15</t>
  </si>
  <si>
    <t>07:00</t>
  </si>
  <si>
    <t>21:12</t>
  </si>
  <si>
    <t>TRP0027</t>
  </si>
  <si>
    <t>TRP0028</t>
  </si>
  <si>
    <t>2025-06-08</t>
  </si>
  <si>
    <t>Ngozi Eze</t>
  </si>
  <si>
    <t>23:57</t>
  </si>
  <si>
    <t>TRP0029</t>
  </si>
  <si>
    <t>09:30</t>
  </si>
  <si>
    <t>21:54</t>
  </si>
  <si>
    <t>TRP0030</t>
  </si>
  <si>
    <t>2025-09-21</t>
  </si>
  <si>
    <t>TRP0031</t>
  </si>
  <si>
    <t>2025-08-01</t>
  </si>
  <si>
    <t>08:45</t>
  </si>
  <si>
    <t>14:33</t>
  </si>
  <si>
    <t>TRP0032</t>
  </si>
  <si>
    <t>2025-01-26</t>
  </si>
  <si>
    <t>12:09</t>
  </si>
  <si>
    <t>TRP0033</t>
  </si>
  <si>
    <t>2025-08-17</t>
  </si>
  <si>
    <t>18:48</t>
  </si>
  <si>
    <t>TRP0034</t>
  </si>
  <si>
    <t>2025-05-27</t>
  </si>
  <si>
    <t>18:15</t>
  </si>
  <si>
    <t>TRP0035</t>
  </si>
  <si>
    <t>TR001</t>
  </si>
  <si>
    <t>KJA-754-AA</t>
  </si>
  <si>
    <t>17:24</t>
  </si>
  <si>
    <t>TRP0036</t>
  </si>
  <si>
    <t>20:51</t>
  </si>
  <si>
    <t>TRP0037</t>
  </si>
  <si>
    <t>10:12</t>
  </si>
  <si>
    <t>TRP0038</t>
  </si>
  <si>
    <t>2025-06-17</t>
  </si>
  <si>
    <t>TR006</t>
  </si>
  <si>
    <t>KJA-792-GH</t>
  </si>
  <si>
    <t>14:30</t>
  </si>
  <si>
    <t>TRP0039</t>
  </si>
  <si>
    <t>2025-01-21</t>
  </si>
  <si>
    <t>11:21</t>
  </si>
  <si>
    <t>TRP0040</t>
  </si>
  <si>
    <t>2025-02-28</t>
  </si>
  <si>
    <t>12:18</t>
  </si>
  <si>
    <t>TRP0041</t>
  </si>
  <si>
    <t>2025-06-04</t>
  </si>
  <si>
    <t>12:54</t>
  </si>
  <si>
    <t>TRP0042</t>
  </si>
  <si>
    <t>2025-09-08</t>
  </si>
  <si>
    <t>TRP0043</t>
  </si>
  <si>
    <t>2025-05-06</t>
  </si>
  <si>
    <t>16:51</t>
  </si>
  <si>
    <t>TRP0044</t>
  </si>
  <si>
    <t>2025-07-01</t>
  </si>
  <si>
    <t>19:00</t>
  </si>
  <si>
    <t>Failed</t>
  </si>
  <si>
    <t>TRP0045</t>
  </si>
  <si>
    <t>2025-09-09</t>
  </si>
  <si>
    <t>TR008</t>
  </si>
  <si>
    <t>KJA-704-DD</t>
  </si>
  <si>
    <t>11:09</t>
  </si>
  <si>
    <t>TRP0046</t>
  </si>
  <si>
    <t>2025-06-19</t>
  </si>
  <si>
    <t>15:03</t>
  </si>
  <si>
    <t>TRP0047</t>
  </si>
  <si>
    <t>2025-09-05</t>
  </si>
  <si>
    <t>19:54</t>
  </si>
  <si>
    <t>TRP0048</t>
  </si>
  <si>
    <t>2025-05-21</t>
  </si>
  <si>
    <t>22:45</t>
  </si>
  <si>
    <t>TRP0049</t>
  </si>
  <si>
    <t>2025-09-02</t>
  </si>
  <si>
    <t>17:48</t>
  </si>
  <si>
    <t>TRP0050</t>
  </si>
  <si>
    <t>2025-04-26</t>
  </si>
  <si>
    <t>Blessing Uche</t>
  </si>
  <si>
    <t>09:57</t>
  </si>
  <si>
    <t>TRP0051</t>
  </si>
  <si>
    <t>2025-02-11</t>
  </si>
  <si>
    <t>06:00</t>
  </si>
  <si>
    <t>TRP0052</t>
  </si>
  <si>
    <t>2025-08-21</t>
  </si>
  <si>
    <t>22:57</t>
  </si>
  <si>
    <t>TRP0053</t>
  </si>
  <si>
    <t>2025-06-07</t>
  </si>
  <si>
    <t>14:36</t>
  </si>
  <si>
    <t>TRP0054</t>
  </si>
  <si>
    <t>TRP0055</t>
  </si>
  <si>
    <t>2025-03-31</t>
  </si>
  <si>
    <t>13:09</t>
  </si>
  <si>
    <t>TRP0056</t>
  </si>
  <si>
    <t>2025-03-24</t>
  </si>
  <si>
    <t>14:42</t>
  </si>
  <si>
    <t>TRP0057</t>
  </si>
  <si>
    <t>2025-08-25</t>
  </si>
  <si>
    <t>TRP0058</t>
  </si>
  <si>
    <t>21:06</t>
  </si>
  <si>
    <t>TRP0059</t>
  </si>
  <si>
    <t>2025-03-20</t>
  </si>
  <si>
    <t>18:39</t>
  </si>
  <si>
    <t>TRP0060</t>
  </si>
  <si>
    <t>2025-03-11</t>
  </si>
  <si>
    <t>15:24</t>
  </si>
  <si>
    <t>TRP0061</t>
  </si>
  <si>
    <t>15:21</t>
  </si>
  <si>
    <t>TRP0062</t>
  </si>
  <si>
    <t>2025-08-31</t>
  </si>
  <si>
    <t>13:33</t>
  </si>
  <si>
    <t>TRP0063</t>
  </si>
  <si>
    <t>2025-01-08</t>
  </si>
  <si>
    <t>20:54</t>
  </si>
  <si>
    <t>TRP0064</t>
  </si>
  <si>
    <t>2025-06-12</t>
  </si>
  <si>
    <t>18:42</t>
  </si>
  <si>
    <t>TRP0065</t>
  </si>
  <si>
    <t>2025-03-27</t>
  </si>
  <si>
    <t>TRP0066</t>
  </si>
  <si>
    <t>17:33</t>
  </si>
  <si>
    <t>TRP0067</t>
  </si>
  <si>
    <t>2025-03-22</t>
  </si>
  <si>
    <t>TRP0068</t>
  </si>
  <si>
    <t>2025-06-01</t>
  </si>
  <si>
    <t>02:00</t>
  </si>
  <si>
    <t>TRP0069</t>
  </si>
  <si>
    <t>19:24</t>
  </si>
  <si>
    <t>TRP0070</t>
  </si>
  <si>
    <t>12:36</t>
  </si>
  <si>
    <t>TRP0071</t>
  </si>
  <si>
    <t>16:12</t>
  </si>
  <si>
    <t>TRP0072</t>
  </si>
  <si>
    <t>2025-07-15</t>
  </si>
  <si>
    <t>00:33</t>
  </si>
  <si>
    <t>TRP0073</t>
  </si>
  <si>
    <t>2025-08-26</t>
  </si>
  <si>
    <t>TRP0074</t>
  </si>
  <si>
    <t>2025-07-09</t>
  </si>
  <si>
    <t>17:51</t>
  </si>
  <si>
    <t>TRP0075</t>
  </si>
  <si>
    <t>2025-08-16</t>
  </si>
  <si>
    <t>TRP0076</t>
  </si>
  <si>
    <t>TRP0077</t>
  </si>
  <si>
    <t>2025-03-16</t>
  </si>
  <si>
    <t>TRP0078</t>
  </si>
  <si>
    <t>2025-08-04</t>
  </si>
  <si>
    <t>18:06</t>
  </si>
  <si>
    <t>TRP0079</t>
  </si>
  <si>
    <t>2025-08-23</t>
  </si>
  <si>
    <t>17:54</t>
  </si>
  <si>
    <t>TRP0080</t>
  </si>
  <si>
    <t>2025-06-16</t>
  </si>
  <si>
    <t>21:51</t>
  </si>
  <si>
    <t>TRP0081</t>
  </si>
  <si>
    <t>15:18</t>
  </si>
  <si>
    <t>TRP0082</t>
  </si>
  <si>
    <t>2025-07-10</t>
  </si>
  <si>
    <t>TRP0083</t>
  </si>
  <si>
    <t>2025-09-17</t>
  </si>
  <si>
    <t>10:24</t>
  </si>
  <si>
    <t>TRP0084</t>
  </si>
  <si>
    <t>2025-05-17</t>
  </si>
  <si>
    <t>17:06</t>
  </si>
  <si>
    <t>TRP0085</t>
  </si>
  <si>
    <t>2025-07-12</t>
  </si>
  <si>
    <t>TRP0086</t>
  </si>
  <si>
    <t>2025-08-15</t>
  </si>
  <si>
    <t>TRP0087</t>
  </si>
  <si>
    <t>07:27</t>
  </si>
  <si>
    <t>TRP0088</t>
  </si>
  <si>
    <t>2025-08-09</t>
  </si>
  <si>
    <t>00:30</t>
  </si>
  <si>
    <t>TRP0089</t>
  </si>
  <si>
    <t>2025-07-27</t>
  </si>
  <si>
    <t>10:36</t>
  </si>
  <si>
    <t>TRP0090</t>
  </si>
  <si>
    <t>2025-02-24</t>
  </si>
  <si>
    <t>16:15</t>
  </si>
  <si>
    <t>TRP0091</t>
  </si>
  <si>
    <t>2025-09-19</t>
  </si>
  <si>
    <t>06:15</t>
  </si>
  <si>
    <t>15:09</t>
  </si>
  <si>
    <t>TRP0092</t>
  </si>
  <si>
    <t>2025-08-18</t>
  </si>
  <si>
    <t>12:00</t>
  </si>
  <si>
    <t>TRP0093</t>
  </si>
  <si>
    <t>09:51</t>
  </si>
  <si>
    <t>TRP0094</t>
  </si>
  <si>
    <t>10:39</t>
  </si>
  <si>
    <t>TRP0095</t>
  </si>
  <si>
    <t>2025-03-30</t>
  </si>
  <si>
    <t>20:21</t>
  </si>
  <si>
    <t>TRP0096</t>
  </si>
  <si>
    <t>2025-06-18</t>
  </si>
  <si>
    <t>14:39</t>
  </si>
  <si>
    <t>TRP0097</t>
  </si>
  <si>
    <t>TRP0098</t>
  </si>
  <si>
    <t>2025-09-06</t>
  </si>
  <si>
    <t>10:06</t>
  </si>
  <si>
    <t>TRP0099</t>
  </si>
  <si>
    <t>2025-03-25</t>
  </si>
  <si>
    <t>22:15</t>
  </si>
  <si>
    <t>TRP0100</t>
  </si>
  <si>
    <t>12:33</t>
  </si>
  <si>
    <t>Note: Dataset is synthetically generated for practice/portfolio use. Fuel price assumed at NGN 950/litre. Distances are approximate road distances between named cities.</t>
  </si>
  <si>
    <t>Month</t>
  </si>
  <si>
    <t>Haulage Data Analyst — Business Problems &amp; Analysis Guide</t>
  </si>
  <si>
    <t>•  Are trips being recorded completely and accurately (truck, driver, origin, destination, times, distance, goods, status)?</t>
  </si>
  <si>
    <t>•  Which routes are used most frequently, and how does that align with demand?</t>
  </si>
  <si>
    <t>•  Are trip statuses (Completed / Delayed / Failed / In Transit) being tracked and resolved efficiently?</t>
  </si>
  <si>
    <t>•  Which trucks make the most trips, and which are underutilized or idle?</t>
  </si>
  <si>
    <t>•  Which trucks have the highest operating cost, and why (fuel, maintenance, breakdowns)?</t>
  </si>
  <si>
    <t>•  What is the Cost per KM for each truck (Total Transport Cost ÷ Total Distance), and how does it compare across the fleet?</t>
  </si>
  <si>
    <t>•  What is the Total Trip Cost breakdown (fuel + driver allowance + tolls + maintenance) across the fleet?</t>
  </si>
  <si>
    <t>•  What is the Cost per Trip, Cost per KM, and Cost per Carton/Unit Delivered?</t>
  </si>
  <si>
    <t>•  Which cost category (fuel, maintenance, tolls, allowances) contributes most to overall spend?</t>
  </si>
  <si>
    <t>•  Are there trucks or routes where costs are disproportionately high relative to distance or load?</t>
  </si>
  <si>
    <t>•  What patterns exist in delivery time across different routes (e.g., which routes take longer than expected)?</t>
  </si>
  <si>
    <t>•  Which trucks have a fuel cost per kilometre significantly above the fleet average?</t>
  </si>
  <si>
    <t>•  Has vehicle downtime (Delayed/Failed trip share) increased or decreased over the period covered?</t>
  </si>
  <si>
    <t>•  Are there seasonal or monthly trends in trip volume, cost, or delays?</t>
  </si>
  <si>
    <t>•  What is the fuel efficiency (km/L) of each truck, and which trucks fall below the fleet average?</t>
  </si>
  <si>
    <t>•  Is there a correlation between fuel efficiency and route, load quantity, or maintenance cost?</t>
  </si>
  <si>
    <t>•  Which trucks warrant further investigation for unusually low fuel efficiency?</t>
  </si>
  <si>
    <t>•  What is the average trip duration and average cost per trip, overall and by route?</t>
  </si>
  <si>
    <t>•  What is the on-time delivery rate, and which routes or drivers have the lowest rates?</t>
  </si>
  <si>
    <t>•  How many trips were completed vs delayed vs failed vs in transit in the period?</t>
  </si>
  <si>
    <t>•  What is the overall on-time delivery rate (Completed &amp; On-Time ÷ Total Scheduled)?</t>
  </si>
  <si>
    <t>•  How many deliveries were late, failed, or returned, and is there a common cause (route, truck, driver)?</t>
  </si>
  <si>
    <t>•  Which goods types experience the most delivery issues?</t>
  </si>
  <si>
    <t>•  Which drivers have the highest and lowest on-time delivery percentages?</t>
  </si>
  <si>
    <t>•  Is there a relationship between driver, fuel efficiency, and incident/breakdown rate?</t>
  </si>
  <si>
    <t>•  Which drivers should be recognized for strong performance, and which may need coaching or review?</t>
  </si>
  <si>
    <t>Suggested KPIs to build (Excel / Power BI)</t>
  </si>
  <si>
    <t>•  Total Trips | Total Distance | Total Fuel Cost | Total Trip Cost</t>
  </si>
  <si>
    <t>•  Cost per KM = Total Transport Cost ÷ Total Distance</t>
  </si>
  <si>
    <t>•  Fuel Efficiency (km/L) = Distance ÷ Fuel Used</t>
  </si>
  <si>
    <t>•  On-Time Delivery Rate = On-Time Trips ÷ Total Scheduled Trips × 100</t>
  </si>
  <si>
    <t>•  Fleet Utilization % = Active Trip Days ÷ Available Truck Days × 100</t>
  </si>
  <si>
    <t>•  Average Trip Duration, Average Cost per Trip</t>
  </si>
  <si>
    <t>•  Maintenance Cost as % of Total Trip Cost</t>
  </si>
  <si>
    <t>Proceduures Taken To Achieve A Clean Dataset That will Enable Easy Navigations In Pivot Analysis And Accurate Informations Needed.</t>
  </si>
  <si>
    <t>Standardisation of text.</t>
  </si>
  <si>
    <t>Formatting of date and time.</t>
  </si>
  <si>
    <t>Converting numbers to currency where it's appropriate.</t>
  </si>
  <si>
    <t>Cost Of Fuel Per (km)</t>
  </si>
  <si>
    <t>Fuel Efficiency</t>
  </si>
  <si>
    <t>Cost Per Quantity</t>
  </si>
  <si>
    <t>Maintenance</t>
  </si>
  <si>
    <t>No Maintenance</t>
  </si>
  <si>
    <t>Maintenance Flag</t>
  </si>
  <si>
    <t>Issue Flag</t>
  </si>
  <si>
    <t>Addition of helper columns: Month, Cost of fuel per km, Cost per quantity, Fuel efficiency, Issue status, Maintenance flag,    for trend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</si>
</sst>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h:mm\ AM/PM;@"/>
    <numFmt numFmtId="166" formatCode="[$₦-466]\ #,##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666666"/>
      <name val="Arial"/>
    </font>
    <font>
      <b/>
      <sz val="14"/>
      <color rgb="FF1F4E78"/>
      <name val="Arial"/>
    </font>
    <font>
      <sz val="10.5"/>
      <name val="Arial"/>
    </font>
    <font>
      <b/>
      <sz val="10.5"/>
      <name val="Arial"/>
    </font>
    <font>
      <b/>
      <sz val="11"/>
      <color rgb="FFFFFFFF"/>
      <name val="Arial"/>
      <family val="2"/>
    </font>
    <font>
      <b/>
      <i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0" xfId="0" applyFont="1"/>
    <xf numFmtId="14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0" fillId="0" borderId="0" xfId="0" applyNumberFormat="1"/>
    <xf numFmtId="1" fontId="2" fillId="0" borderId="1" xfId="0" applyNumberFormat="1" applyFont="1" applyBorder="1" applyAlignment="1">
      <alignment horizontal="right"/>
    </xf>
    <xf numFmtId="1" fontId="0" fillId="0" borderId="0" xfId="0" applyNumberForma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0" fillId="0" borderId="0" xfId="0" applyAlignme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14" fontId="2" fillId="0" borderId="8" xfId="0" applyNumberFormat="1" applyFont="1" applyBorder="1" applyAlignment="1">
      <alignment horizontal="left"/>
    </xf>
    <xf numFmtId="0" fontId="7" fillId="2" borderId="5" xfId="0" applyFont="1" applyFill="1" applyBorder="1" applyAlignment="1">
      <alignment horizontal="center" vertical="center"/>
    </xf>
    <xf numFmtId="2" fontId="2" fillId="0" borderId="8" xfId="0" applyNumberFormat="1" applyFont="1" applyBorder="1" applyAlignment="1">
      <alignment horizontal="right"/>
    </xf>
    <xf numFmtId="165" fontId="1" fillId="2" borderId="5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/>
    </xf>
    <xf numFmtId="165" fontId="2" fillId="0" borderId="8" xfId="0" applyNumberFormat="1" applyFont="1" applyBorder="1" applyAlignment="1">
      <alignment horizontal="left"/>
    </xf>
    <xf numFmtId="165" fontId="0" fillId="0" borderId="0" xfId="0" applyNumberFormat="1"/>
    <xf numFmtId="164" fontId="1" fillId="2" borderId="5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right"/>
    </xf>
    <xf numFmtId="1" fontId="1" fillId="2" borderId="5" xfId="0" applyNumberFormat="1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right"/>
    </xf>
    <xf numFmtId="166" fontId="1" fillId="2" borderId="5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6" fontId="0" fillId="0" borderId="0" xfId="0" applyNumberFormat="1"/>
    <xf numFmtId="0" fontId="0" fillId="3" borderId="0" xfId="0" applyFill="1"/>
    <xf numFmtId="0" fontId="8" fillId="3" borderId="0" xfId="0" applyFont="1" applyFill="1"/>
    <xf numFmtId="166" fontId="7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0" fillId="0" borderId="0" xfId="0" applyNumberFormat="1"/>
    <xf numFmtId="1" fontId="7" fillId="2" borderId="5" xfId="1" applyNumberFormat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right"/>
    </xf>
    <xf numFmtId="1" fontId="2" fillId="0" borderId="8" xfId="1" applyNumberFormat="1" applyFont="1" applyBorder="1" applyAlignment="1">
      <alignment horizontal="right"/>
    </xf>
    <xf numFmtId="1" fontId="0" fillId="0" borderId="0" xfId="1" applyNumberFormat="1" applyFont="1"/>
    <xf numFmtId="166" fontId="7" fillId="2" borderId="5" xfId="1" applyNumberFormat="1" applyFont="1" applyFill="1" applyBorder="1" applyAlignment="1">
      <alignment horizontal="center" vertical="center"/>
    </xf>
    <xf numFmtId="166" fontId="2" fillId="0" borderId="1" xfId="1" applyNumberFormat="1" applyFont="1" applyBorder="1" applyAlignment="1">
      <alignment horizontal="right"/>
    </xf>
    <xf numFmtId="166" fontId="2" fillId="0" borderId="8" xfId="1" applyNumberFormat="1" applyFont="1" applyBorder="1" applyAlignment="1">
      <alignment horizontal="right"/>
    </xf>
    <xf numFmtId="166" fontId="0" fillId="0" borderId="0" xfId="1" applyNumberFormat="1" applyFont="1"/>
    <xf numFmtId="0" fontId="0" fillId="2" borderId="0" xfId="0" applyFill="1"/>
    <xf numFmtId="0" fontId="0" fillId="0" borderId="0" xfId="0" applyAlignment="1">
      <alignment vertical="center" indent="1"/>
    </xf>
  </cellXfs>
  <cellStyles count="2">
    <cellStyle name="Normal" xfId="0" builtinId="0"/>
    <cellStyle name="Percent" xfId="1" builtinId="5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[$₦-466]\ #,##0"/>
      <alignment horizontal="righ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[$-409]h:mm\ AM/PM;@"/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[$-409]h:mm\ AM/PM;@"/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AA101" totalsRowShown="0" headerRowDxfId="31" dataDxfId="29" headerRowBorderDxfId="30" tableBorderDxfId="28" totalsRowBorderDxfId="27">
  <autoFilter ref="A1:AA101"/>
  <tableColumns count="27">
    <tableColumn id="1" name="Trip ID" dataDxfId="26"/>
    <tableColumn id="2" name="Date" dataDxfId="25"/>
    <tableColumn id="22" name="Month" dataDxfId="24">
      <calculatedColumnFormula>TEXT(Table1[[#This Row],[Date]],"mmmm")</calculatedColumnFormula>
    </tableColumn>
    <tableColumn id="3" name="Truck ID" dataDxfId="23"/>
    <tableColumn id="4" name="Plate Number" dataDxfId="22"/>
    <tableColumn id="5" name="Driver" dataDxfId="21"/>
    <tableColumn id="6" name="Origin" dataDxfId="20"/>
    <tableColumn id="7" name="Destination" dataDxfId="19"/>
    <tableColumn id="8" name="Departure Time" dataDxfId="18"/>
    <tableColumn id="9" name="Arrival Time" dataDxfId="17"/>
    <tableColumn id="10" name="Distance (km)" dataDxfId="16"/>
    <tableColumn id="11" name="Trip Duration (hrs)" dataDxfId="15"/>
    <tableColumn id="12" name="Goods Type" dataDxfId="14"/>
    <tableColumn id="13" name="Quantity" dataDxfId="13"/>
    <tableColumn id="14" name="Fuel Used (L)" dataDxfId="12"/>
    <tableColumn id="15" name="Fuel Cost (NGN)" dataDxfId="11"/>
    <tableColumn id="23" name="Cost Of Fuel Per (km)" dataDxfId="10">
      <calculatedColumnFormula>Table1[[#This Row],[Fuel Cost (NGN)]]/Table1[[#This Row],[Distance (km)]]</calculatedColumnFormula>
    </tableColumn>
    <tableColumn id="25" name="Fuel Efficiency" dataDxfId="9" dataCellStyle="Percent"/>
    <tableColumn id="27" name="Cost Per Quantity" dataDxfId="8" dataCellStyle="Percent"/>
    <tableColumn id="16" name="Driver Allowance (NGN)" dataDxfId="7"/>
    <tableColumn id="17" name="Toll Cost (NGN)" dataDxfId="6"/>
    <tableColumn id="18" name="Maintenance Cost (NGN)" dataDxfId="5"/>
    <tableColumn id="29" name="Maintenance Flag" dataDxfId="4"/>
    <tableColumn id="19" name="Total Trip Cost (NGN)" dataDxfId="3"/>
    <tableColumn id="30" name="Issue Flag" dataDxfId="2">
      <calculatedColumnFormula>IF(OR(Table1[[#This Row],[Trip Status]]="Failed",Table1[[#This Row],[Trip Status]]="Delayed"),"Issue","Normal")</calculatedColumnFormula>
    </tableColumn>
    <tableColumn id="20" name="Trip Status" dataDxfId="1"/>
    <tableColumn id="21" name="On-Time (Y/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J1" sqref="J1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4" width="14" customWidth="1"/>
    <col min="5" max="5" width="16" customWidth="1"/>
    <col min="6" max="7" width="14" customWidth="1"/>
    <col min="8" max="10" width="12" customWidth="1"/>
    <col min="11" max="11" width="14" customWidth="1"/>
    <col min="12" max="12" width="18" customWidth="1"/>
    <col min="13" max="13" width="10" customWidth="1"/>
    <col min="14" max="14" width="12" customWidth="1"/>
    <col min="15" max="15" width="14" customWidth="1"/>
    <col min="16" max="16" width="16" customWidth="1"/>
    <col min="17" max="17" width="12" customWidth="1"/>
    <col min="18" max="19" width="16" customWidth="1"/>
    <col min="20" max="20" width="12" customWidth="1"/>
    <col min="21" max="21" width="10" customWidth="1"/>
  </cols>
  <sheetData>
    <row r="1" spans="1:21" ht="4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3">
        <v>66</v>
      </c>
      <c r="K2" s="3">
        <v>1.1000000000000001</v>
      </c>
      <c r="L2" s="2" t="s">
        <v>30</v>
      </c>
      <c r="M2" s="3">
        <v>154</v>
      </c>
      <c r="N2" s="3">
        <v>17.5</v>
      </c>
      <c r="O2" s="3">
        <v>16625</v>
      </c>
      <c r="P2" s="3">
        <v>5000</v>
      </c>
      <c r="Q2" s="3">
        <v>1000</v>
      </c>
      <c r="R2" s="3">
        <v>10000</v>
      </c>
      <c r="S2" s="3">
        <v>32625</v>
      </c>
      <c r="T2" s="2" t="s">
        <v>31</v>
      </c>
      <c r="U2" s="2" t="s">
        <v>32</v>
      </c>
    </row>
    <row r="3" spans="1:2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3">
        <v>609</v>
      </c>
      <c r="K3" s="3">
        <v>13.2</v>
      </c>
      <c r="L3" s="2" t="s">
        <v>42</v>
      </c>
      <c r="M3" s="3">
        <v>420</v>
      </c>
      <c r="N3" s="3">
        <v>116.4</v>
      </c>
      <c r="O3" s="3">
        <v>110580</v>
      </c>
      <c r="P3" s="3">
        <v>5000</v>
      </c>
      <c r="Q3" s="3">
        <v>0</v>
      </c>
      <c r="R3" s="3">
        <v>0</v>
      </c>
      <c r="S3" s="3">
        <v>115580</v>
      </c>
      <c r="T3" s="2" t="s">
        <v>43</v>
      </c>
      <c r="U3" s="2" t="s">
        <v>44</v>
      </c>
    </row>
    <row r="4" spans="1:21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3">
        <v>163</v>
      </c>
      <c r="K4" s="3">
        <v>4.2</v>
      </c>
      <c r="L4" s="2" t="s">
        <v>54</v>
      </c>
      <c r="M4" s="3">
        <v>429</v>
      </c>
      <c r="N4" s="3">
        <v>35.700000000000003</v>
      </c>
      <c r="O4" s="3">
        <v>33915</v>
      </c>
      <c r="P4" s="3">
        <v>8000</v>
      </c>
      <c r="Q4" s="3">
        <v>2500</v>
      </c>
      <c r="R4" s="3">
        <v>0</v>
      </c>
      <c r="S4" s="3">
        <v>44415</v>
      </c>
      <c r="T4" s="2" t="s">
        <v>31</v>
      </c>
      <c r="U4" s="2" t="s">
        <v>32</v>
      </c>
    </row>
    <row r="5" spans="1:21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50</v>
      </c>
      <c r="G5" s="2" t="s">
        <v>60</v>
      </c>
      <c r="H5" s="2" t="s">
        <v>52</v>
      </c>
      <c r="I5" s="2" t="s">
        <v>61</v>
      </c>
      <c r="J5" s="3">
        <v>533</v>
      </c>
      <c r="K5" s="3">
        <v>9</v>
      </c>
      <c r="L5" s="2" t="s">
        <v>62</v>
      </c>
      <c r="M5" s="3">
        <v>274</v>
      </c>
      <c r="N5" s="3">
        <v>96</v>
      </c>
      <c r="O5" s="3">
        <v>91200</v>
      </c>
      <c r="P5" s="3">
        <v>5000</v>
      </c>
      <c r="Q5" s="3">
        <v>500</v>
      </c>
      <c r="R5" s="3">
        <v>0</v>
      </c>
      <c r="S5" s="3">
        <v>96700</v>
      </c>
      <c r="T5" s="2" t="s">
        <v>43</v>
      </c>
      <c r="U5" s="2" t="s">
        <v>44</v>
      </c>
    </row>
    <row r="6" spans="1:21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50</v>
      </c>
      <c r="H6" s="2" t="s">
        <v>69</v>
      </c>
      <c r="I6" s="2" t="s">
        <v>70</v>
      </c>
      <c r="J6" s="3">
        <v>756</v>
      </c>
      <c r="K6" s="3">
        <v>13.3</v>
      </c>
      <c r="L6" s="2" t="s">
        <v>71</v>
      </c>
      <c r="M6" s="3">
        <v>196</v>
      </c>
      <c r="N6" s="3">
        <v>176</v>
      </c>
      <c r="O6" s="3">
        <v>167200</v>
      </c>
      <c r="P6" s="3">
        <v>7000</v>
      </c>
      <c r="Q6" s="3">
        <v>2500</v>
      </c>
      <c r="R6" s="3">
        <v>40000</v>
      </c>
      <c r="S6" s="3">
        <v>216700</v>
      </c>
      <c r="T6" s="2" t="s">
        <v>31</v>
      </c>
      <c r="U6" s="2" t="s">
        <v>32</v>
      </c>
    </row>
    <row r="7" spans="1:21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26</v>
      </c>
      <c r="H7" s="2" t="s">
        <v>69</v>
      </c>
      <c r="I7" s="2" t="s">
        <v>78</v>
      </c>
      <c r="J7" s="3">
        <v>468</v>
      </c>
      <c r="K7" s="3">
        <v>7</v>
      </c>
      <c r="L7" s="2" t="s">
        <v>71</v>
      </c>
      <c r="M7" s="3">
        <v>143</v>
      </c>
      <c r="N7" s="3">
        <v>81.099999999999994</v>
      </c>
      <c r="O7" s="3">
        <v>77045</v>
      </c>
      <c r="P7" s="3">
        <v>5000</v>
      </c>
      <c r="Q7" s="3">
        <v>500</v>
      </c>
      <c r="R7" s="3">
        <v>0</v>
      </c>
      <c r="S7" s="3">
        <v>82545</v>
      </c>
      <c r="T7" s="2" t="s">
        <v>43</v>
      </c>
      <c r="U7" s="2" t="s">
        <v>44</v>
      </c>
    </row>
    <row r="8" spans="1:21" x14ac:dyDescent="0.25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77</v>
      </c>
      <c r="G8" s="2" t="s">
        <v>84</v>
      </c>
      <c r="H8" s="2" t="s">
        <v>52</v>
      </c>
      <c r="I8" s="2" t="s">
        <v>85</v>
      </c>
      <c r="J8" s="3">
        <v>670</v>
      </c>
      <c r="K8" s="3">
        <v>11.6</v>
      </c>
      <c r="L8" s="2" t="s">
        <v>86</v>
      </c>
      <c r="M8" s="3">
        <v>167</v>
      </c>
      <c r="N8" s="3">
        <v>120.8</v>
      </c>
      <c r="O8" s="3">
        <v>114760</v>
      </c>
      <c r="P8" s="3">
        <v>12000</v>
      </c>
      <c r="Q8" s="3">
        <v>1000</v>
      </c>
      <c r="R8" s="3">
        <v>10000</v>
      </c>
      <c r="S8" s="3">
        <v>137760</v>
      </c>
      <c r="T8" s="2" t="s">
        <v>87</v>
      </c>
      <c r="U8" s="2" t="s">
        <v>88</v>
      </c>
    </row>
    <row r="9" spans="1:21" x14ac:dyDescent="0.25">
      <c r="A9" s="2" t="s">
        <v>89</v>
      </c>
      <c r="B9" s="2" t="s">
        <v>90</v>
      </c>
      <c r="C9" s="2" t="s">
        <v>65</v>
      </c>
      <c r="D9" s="2" t="s">
        <v>66</v>
      </c>
      <c r="E9" s="2" t="s">
        <v>91</v>
      </c>
      <c r="F9" s="2" t="s">
        <v>39</v>
      </c>
      <c r="G9" s="2" t="s">
        <v>92</v>
      </c>
      <c r="H9" s="2" t="s">
        <v>69</v>
      </c>
      <c r="I9" s="2" t="s">
        <v>93</v>
      </c>
      <c r="J9" s="3">
        <v>799</v>
      </c>
      <c r="K9" s="3">
        <v>14.2</v>
      </c>
      <c r="L9" s="2" t="s">
        <v>94</v>
      </c>
      <c r="M9" s="3">
        <v>569</v>
      </c>
      <c r="N9" s="3">
        <v>150</v>
      </c>
      <c r="O9" s="3">
        <v>142500</v>
      </c>
      <c r="P9" s="3">
        <v>7000</v>
      </c>
      <c r="Q9" s="3">
        <v>1000</v>
      </c>
      <c r="R9" s="3">
        <v>0</v>
      </c>
      <c r="S9" s="3">
        <v>150500</v>
      </c>
      <c r="T9" s="2" t="s">
        <v>31</v>
      </c>
      <c r="U9" s="2" t="s">
        <v>32</v>
      </c>
    </row>
    <row r="10" spans="1:21" x14ac:dyDescent="0.25">
      <c r="A10" s="2" t="s">
        <v>95</v>
      </c>
      <c r="B10" s="2" t="s">
        <v>96</v>
      </c>
      <c r="C10" s="2" t="s">
        <v>81</v>
      </c>
      <c r="D10" s="2" t="s">
        <v>82</v>
      </c>
      <c r="E10" s="2" t="s">
        <v>97</v>
      </c>
      <c r="F10" s="2" t="s">
        <v>39</v>
      </c>
      <c r="G10" s="2" t="s">
        <v>92</v>
      </c>
      <c r="H10" s="2" t="s">
        <v>98</v>
      </c>
      <c r="I10" s="2" t="s">
        <v>99</v>
      </c>
      <c r="J10" s="3">
        <v>174</v>
      </c>
      <c r="K10" s="3">
        <v>3.5</v>
      </c>
      <c r="L10" s="2" t="s">
        <v>42</v>
      </c>
      <c r="M10" s="3">
        <v>130</v>
      </c>
      <c r="N10" s="3">
        <v>46.3</v>
      </c>
      <c r="O10" s="3">
        <v>43985</v>
      </c>
      <c r="P10" s="3">
        <v>10000</v>
      </c>
      <c r="Q10" s="3">
        <v>0</v>
      </c>
      <c r="R10" s="3">
        <v>40000</v>
      </c>
      <c r="S10" s="3">
        <v>93985</v>
      </c>
      <c r="T10" s="2" t="s">
        <v>43</v>
      </c>
      <c r="U10" s="2" t="s">
        <v>44</v>
      </c>
    </row>
    <row r="11" spans="1:21" x14ac:dyDescent="0.25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39</v>
      </c>
      <c r="G11" s="2" t="s">
        <v>105</v>
      </c>
      <c r="H11" s="2" t="s">
        <v>106</v>
      </c>
      <c r="I11" s="2" t="s">
        <v>107</v>
      </c>
      <c r="J11" s="3">
        <v>229</v>
      </c>
      <c r="K11" s="3">
        <v>4.9000000000000004</v>
      </c>
      <c r="L11" s="2" t="s">
        <v>108</v>
      </c>
      <c r="M11" s="3">
        <v>369</v>
      </c>
      <c r="N11" s="3">
        <v>48.8</v>
      </c>
      <c r="O11" s="3">
        <v>46360</v>
      </c>
      <c r="P11" s="3">
        <v>8000</v>
      </c>
      <c r="Q11" s="3">
        <v>1500</v>
      </c>
      <c r="R11" s="3">
        <v>40000</v>
      </c>
      <c r="S11" s="3">
        <v>95860</v>
      </c>
      <c r="T11" s="2" t="s">
        <v>87</v>
      </c>
      <c r="U11" s="2" t="s">
        <v>88</v>
      </c>
    </row>
    <row r="12" spans="1:21" x14ac:dyDescent="0.25">
      <c r="A12" s="2" t="s">
        <v>109</v>
      </c>
      <c r="B12" s="2" t="s">
        <v>110</v>
      </c>
      <c r="C12" s="2" t="s">
        <v>23</v>
      </c>
      <c r="D12" s="2" t="s">
        <v>24</v>
      </c>
      <c r="E12" s="2" t="s">
        <v>111</v>
      </c>
      <c r="F12" s="2" t="s">
        <v>68</v>
      </c>
      <c r="G12" s="2" t="s">
        <v>112</v>
      </c>
      <c r="H12" s="2" t="s">
        <v>113</v>
      </c>
      <c r="I12" s="2" t="s">
        <v>114</v>
      </c>
      <c r="J12" s="3">
        <v>81</v>
      </c>
      <c r="K12" s="3">
        <v>1.7</v>
      </c>
      <c r="L12" s="2" t="s">
        <v>86</v>
      </c>
      <c r="M12" s="3">
        <v>284</v>
      </c>
      <c r="N12" s="3">
        <v>21.9</v>
      </c>
      <c r="O12" s="3">
        <v>20805</v>
      </c>
      <c r="P12" s="3">
        <v>5000</v>
      </c>
      <c r="Q12" s="3">
        <v>1000</v>
      </c>
      <c r="R12" s="3">
        <v>0</v>
      </c>
      <c r="S12" s="3">
        <v>26805</v>
      </c>
      <c r="T12" s="2" t="s">
        <v>31</v>
      </c>
      <c r="U12" s="2" t="s">
        <v>32</v>
      </c>
    </row>
    <row r="13" spans="1:21" x14ac:dyDescent="0.25">
      <c r="A13" s="2" t="s">
        <v>115</v>
      </c>
      <c r="B13" s="2" t="s">
        <v>116</v>
      </c>
      <c r="C13" s="2" t="s">
        <v>117</v>
      </c>
      <c r="D13" s="2" t="s">
        <v>118</v>
      </c>
      <c r="E13" s="2" t="s">
        <v>104</v>
      </c>
      <c r="F13" s="2" t="s">
        <v>39</v>
      </c>
      <c r="G13" s="2" t="s">
        <v>50</v>
      </c>
      <c r="H13" s="2" t="s">
        <v>28</v>
      </c>
      <c r="I13" s="2" t="s">
        <v>119</v>
      </c>
      <c r="J13" s="3">
        <v>440</v>
      </c>
      <c r="K13" s="3">
        <v>9.3000000000000007</v>
      </c>
      <c r="L13" s="2" t="s">
        <v>120</v>
      </c>
      <c r="M13" s="3">
        <v>244</v>
      </c>
      <c r="N13" s="3">
        <v>116.3</v>
      </c>
      <c r="O13" s="3">
        <v>110485</v>
      </c>
      <c r="P13" s="3">
        <v>10000</v>
      </c>
      <c r="Q13" s="3">
        <v>1000</v>
      </c>
      <c r="R13" s="3">
        <v>15000</v>
      </c>
      <c r="S13" s="3">
        <v>136485</v>
      </c>
      <c r="T13" s="2" t="s">
        <v>87</v>
      </c>
      <c r="U13" s="2" t="s">
        <v>88</v>
      </c>
    </row>
    <row r="14" spans="1:21" x14ac:dyDescent="0.25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59</v>
      </c>
      <c r="F14" s="2" t="s">
        <v>92</v>
      </c>
      <c r="G14" s="2" t="s">
        <v>125</v>
      </c>
      <c r="H14" s="2" t="s">
        <v>126</v>
      </c>
      <c r="I14" s="2" t="s">
        <v>127</v>
      </c>
      <c r="J14" s="3">
        <v>729</v>
      </c>
      <c r="K14" s="3">
        <v>13.9</v>
      </c>
      <c r="L14" s="2" t="s">
        <v>128</v>
      </c>
      <c r="M14" s="3">
        <v>304</v>
      </c>
      <c r="N14" s="3">
        <v>178.9</v>
      </c>
      <c r="O14" s="3">
        <v>169955</v>
      </c>
      <c r="P14" s="3">
        <v>12000</v>
      </c>
      <c r="Q14" s="3">
        <v>1500</v>
      </c>
      <c r="R14" s="3">
        <v>0</v>
      </c>
      <c r="S14" s="3">
        <v>183455</v>
      </c>
      <c r="T14" s="2" t="s">
        <v>87</v>
      </c>
      <c r="U14" s="2" t="s">
        <v>88</v>
      </c>
    </row>
    <row r="15" spans="1:21" x14ac:dyDescent="0.25">
      <c r="A15" s="2" t="s">
        <v>129</v>
      </c>
      <c r="B15" s="2" t="s">
        <v>130</v>
      </c>
      <c r="C15" s="2" t="s">
        <v>117</v>
      </c>
      <c r="D15" s="2" t="s">
        <v>118</v>
      </c>
      <c r="E15" s="2" t="s">
        <v>25</v>
      </c>
      <c r="F15" s="2" t="s">
        <v>50</v>
      </c>
      <c r="G15" s="2" t="s">
        <v>51</v>
      </c>
      <c r="H15" s="2" t="s">
        <v>131</v>
      </c>
      <c r="I15" s="2" t="s">
        <v>132</v>
      </c>
      <c r="J15" s="3">
        <v>137</v>
      </c>
      <c r="K15" s="3">
        <v>4.5</v>
      </c>
      <c r="L15" s="2" t="s">
        <v>86</v>
      </c>
      <c r="M15" s="3">
        <v>145</v>
      </c>
      <c r="N15" s="3">
        <v>21.8</v>
      </c>
      <c r="O15" s="3">
        <v>20710</v>
      </c>
      <c r="P15" s="3">
        <v>7000</v>
      </c>
      <c r="Q15" s="3">
        <v>500</v>
      </c>
      <c r="R15" s="3">
        <v>15000</v>
      </c>
      <c r="S15" s="3">
        <v>43210</v>
      </c>
      <c r="T15" s="2" t="s">
        <v>87</v>
      </c>
      <c r="U15" s="2" t="s">
        <v>88</v>
      </c>
    </row>
    <row r="16" spans="1:21" x14ac:dyDescent="0.25">
      <c r="A16" s="2" t="s">
        <v>133</v>
      </c>
      <c r="B16" s="2" t="s">
        <v>134</v>
      </c>
      <c r="C16" s="2" t="s">
        <v>23</v>
      </c>
      <c r="D16" s="2" t="s">
        <v>24</v>
      </c>
      <c r="E16" s="2" t="s">
        <v>49</v>
      </c>
      <c r="F16" s="2" t="s">
        <v>77</v>
      </c>
      <c r="G16" s="2" t="s">
        <v>92</v>
      </c>
      <c r="H16" s="2" t="s">
        <v>131</v>
      </c>
      <c r="I16" s="2" t="s">
        <v>135</v>
      </c>
      <c r="J16" s="3">
        <v>228</v>
      </c>
      <c r="K16" s="3">
        <v>3.6</v>
      </c>
      <c r="L16" s="2" t="s">
        <v>71</v>
      </c>
      <c r="M16" s="3">
        <v>342</v>
      </c>
      <c r="N16" s="3">
        <v>47.8</v>
      </c>
      <c r="O16" s="3">
        <v>45410</v>
      </c>
      <c r="P16" s="3">
        <v>12000</v>
      </c>
      <c r="Q16" s="3">
        <v>2500</v>
      </c>
      <c r="R16" s="3">
        <v>25000</v>
      </c>
      <c r="S16" s="3">
        <v>84910</v>
      </c>
      <c r="T16" s="2" t="s">
        <v>87</v>
      </c>
      <c r="U16" s="2" t="s">
        <v>88</v>
      </c>
    </row>
    <row r="17" spans="1:21" x14ac:dyDescent="0.25">
      <c r="A17" s="2" t="s">
        <v>136</v>
      </c>
      <c r="B17" s="2" t="s">
        <v>137</v>
      </c>
      <c r="C17" s="2" t="s">
        <v>117</v>
      </c>
      <c r="D17" s="2" t="s">
        <v>118</v>
      </c>
      <c r="E17" s="2" t="s">
        <v>111</v>
      </c>
      <c r="F17" s="2" t="s">
        <v>92</v>
      </c>
      <c r="G17" s="2" t="s">
        <v>26</v>
      </c>
      <c r="H17" s="2" t="s">
        <v>138</v>
      </c>
      <c r="I17" s="2" t="s">
        <v>139</v>
      </c>
      <c r="J17" s="3">
        <v>615</v>
      </c>
      <c r="K17" s="3">
        <v>14</v>
      </c>
      <c r="L17" s="2" t="s">
        <v>62</v>
      </c>
      <c r="M17" s="3">
        <v>593</v>
      </c>
      <c r="N17" s="3">
        <v>154.80000000000001</v>
      </c>
      <c r="O17" s="3">
        <v>147060</v>
      </c>
      <c r="P17" s="3">
        <v>12000</v>
      </c>
      <c r="Q17" s="3">
        <v>0</v>
      </c>
      <c r="R17" s="3">
        <v>0</v>
      </c>
      <c r="S17" s="3">
        <v>159060</v>
      </c>
      <c r="T17" s="2" t="s">
        <v>87</v>
      </c>
      <c r="U17" s="2" t="s">
        <v>88</v>
      </c>
    </row>
    <row r="18" spans="1:21" x14ac:dyDescent="0.25">
      <c r="A18" s="2" t="s">
        <v>140</v>
      </c>
      <c r="B18" s="2" t="s">
        <v>141</v>
      </c>
      <c r="C18" s="2" t="s">
        <v>142</v>
      </c>
      <c r="D18" s="2" t="s">
        <v>143</v>
      </c>
      <c r="E18" s="2" t="s">
        <v>49</v>
      </c>
      <c r="F18" s="2" t="s">
        <v>50</v>
      </c>
      <c r="G18" s="2" t="s">
        <v>77</v>
      </c>
      <c r="H18" s="2" t="s">
        <v>113</v>
      </c>
      <c r="I18" s="2" t="s">
        <v>144</v>
      </c>
      <c r="J18" s="3">
        <v>182</v>
      </c>
      <c r="K18" s="3">
        <v>2.8</v>
      </c>
      <c r="L18" s="2" t="s">
        <v>128</v>
      </c>
      <c r="M18" s="3">
        <v>479</v>
      </c>
      <c r="N18" s="3">
        <v>33.299999999999997</v>
      </c>
      <c r="O18" s="3">
        <v>31635</v>
      </c>
      <c r="P18" s="3">
        <v>12000</v>
      </c>
      <c r="Q18" s="3">
        <v>2000</v>
      </c>
      <c r="R18" s="3">
        <v>10000</v>
      </c>
      <c r="S18" s="3">
        <v>55635</v>
      </c>
      <c r="T18" s="2" t="s">
        <v>87</v>
      </c>
      <c r="U18" s="2" t="s">
        <v>88</v>
      </c>
    </row>
    <row r="19" spans="1:21" x14ac:dyDescent="0.25">
      <c r="A19" s="2" t="s">
        <v>145</v>
      </c>
      <c r="B19" s="2" t="s">
        <v>146</v>
      </c>
      <c r="C19" s="2" t="s">
        <v>142</v>
      </c>
      <c r="D19" s="2" t="s">
        <v>143</v>
      </c>
      <c r="E19" s="2" t="s">
        <v>59</v>
      </c>
      <c r="F19" s="2" t="s">
        <v>112</v>
      </c>
      <c r="G19" s="2" t="s">
        <v>50</v>
      </c>
      <c r="H19" s="2" t="s">
        <v>147</v>
      </c>
      <c r="I19" s="2" t="s">
        <v>148</v>
      </c>
      <c r="J19" s="3">
        <v>128</v>
      </c>
      <c r="K19" s="3">
        <v>2.2999999999999998</v>
      </c>
      <c r="L19" s="2" t="s">
        <v>30</v>
      </c>
      <c r="M19" s="3">
        <v>124</v>
      </c>
      <c r="N19" s="3">
        <v>36.299999999999997</v>
      </c>
      <c r="O19" s="3">
        <v>34485</v>
      </c>
      <c r="P19" s="3">
        <v>12000</v>
      </c>
      <c r="Q19" s="3">
        <v>2000</v>
      </c>
      <c r="R19" s="3">
        <v>0</v>
      </c>
      <c r="S19" s="3">
        <v>48485</v>
      </c>
      <c r="T19" s="2" t="s">
        <v>87</v>
      </c>
      <c r="U19" s="2" t="s">
        <v>88</v>
      </c>
    </row>
    <row r="20" spans="1:21" x14ac:dyDescent="0.25">
      <c r="A20" s="2" t="s">
        <v>149</v>
      </c>
      <c r="B20" s="2" t="s">
        <v>150</v>
      </c>
      <c r="C20" s="2" t="s">
        <v>57</v>
      </c>
      <c r="D20" s="2" t="s">
        <v>58</v>
      </c>
      <c r="E20" s="2" t="s">
        <v>67</v>
      </c>
      <c r="F20" s="2" t="s">
        <v>60</v>
      </c>
      <c r="G20" s="2" t="s">
        <v>112</v>
      </c>
      <c r="H20" s="2" t="s">
        <v>151</v>
      </c>
      <c r="I20" s="2" t="s">
        <v>152</v>
      </c>
      <c r="J20" s="3">
        <v>130</v>
      </c>
      <c r="K20" s="3">
        <v>2.9</v>
      </c>
      <c r="L20" s="2" t="s">
        <v>62</v>
      </c>
      <c r="M20" s="3">
        <v>359</v>
      </c>
      <c r="N20" s="3">
        <v>24.4</v>
      </c>
      <c r="O20" s="3">
        <v>23180</v>
      </c>
      <c r="P20" s="3">
        <v>12000</v>
      </c>
      <c r="Q20" s="3">
        <v>0</v>
      </c>
      <c r="R20" s="3">
        <v>40000</v>
      </c>
      <c r="S20" s="3">
        <v>75180</v>
      </c>
      <c r="T20" s="2" t="s">
        <v>87</v>
      </c>
      <c r="U20" s="2" t="s">
        <v>88</v>
      </c>
    </row>
    <row r="21" spans="1:21" x14ac:dyDescent="0.25">
      <c r="A21" s="2" t="s">
        <v>153</v>
      </c>
      <c r="B21" s="2" t="s">
        <v>154</v>
      </c>
      <c r="C21" s="2" t="s">
        <v>155</v>
      </c>
      <c r="D21" s="2" t="s">
        <v>156</v>
      </c>
      <c r="E21" s="2" t="s">
        <v>91</v>
      </c>
      <c r="F21" s="2" t="s">
        <v>27</v>
      </c>
      <c r="G21" s="2" t="s">
        <v>68</v>
      </c>
      <c r="H21" s="2" t="s">
        <v>113</v>
      </c>
      <c r="I21" s="2" t="s">
        <v>157</v>
      </c>
      <c r="J21" s="3">
        <v>169</v>
      </c>
      <c r="K21" s="3">
        <v>4.0999999999999996</v>
      </c>
      <c r="L21" s="2" t="s">
        <v>30</v>
      </c>
      <c r="M21" s="3">
        <v>258</v>
      </c>
      <c r="N21" s="3">
        <v>30.4</v>
      </c>
      <c r="O21" s="3">
        <v>28880</v>
      </c>
      <c r="P21" s="3">
        <v>8000</v>
      </c>
      <c r="Q21" s="3">
        <v>2000</v>
      </c>
      <c r="R21" s="3">
        <v>25000</v>
      </c>
      <c r="S21" s="3">
        <v>63880</v>
      </c>
      <c r="T21" s="2" t="s">
        <v>87</v>
      </c>
      <c r="U21" s="2" t="s">
        <v>88</v>
      </c>
    </row>
    <row r="22" spans="1:21" x14ac:dyDescent="0.25">
      <c r="A22" s="2" t="s">
        <v>158</v>
      </c>
      <c r="B22" s="2" t="s">
        <v>159</v>
      </c>
      <c r="C22" s="2" t="s">
        <v>47</v>
      </c>
      <c r="D22" s="2" t="s">
        <v>48</v>
      </c>
      <c r="E22" s="2" t="s">
        <v>104</v>
      </c>
      <c r="F22" s="2" t="s">
        <v>77</v>
      </c>
      <c r="G22" s="2" t="s">
        <v>51</v>
      </c>
      <c r="H22" s="2" t="s">
        <v>126</v>
      </c>
      <c r="I22" s="2" t="s">
        <v>160</v>
      </c>
      <c r="J22" s="3">
        <v>343</v>
      </c>
      <c r="K22" s="3">
        <v>6.4</v>
      </c>
      <c r="L22" s="2" t="s">
        <v>94</v>
      </c>
      <c r="M22" s="3">
        <v>215</v>
      </c>
      <c r="N22" s="3">
        <v>59.9</v>
      </c>
      <c r="O22" s="3">
        <v>56905</v>
      </c>
      <c r="P22" s="3">
        <v>12000</v>
      </c>
      <c r="Q22" s="3">
        <v>2500</v>
      </c>
      <c r="R22" s="3">
        <v>15000</v>
      </c>
      <c r="S22" s="3">
        <v>86405</v>
      </c>
      <c r="T22" s="2" t="s">
        <v>31</v>
      </c>
      <c r="U22" s="2" t="s">
        <v>32</v>
      </c>
    </row>
    <row r="23" spans="1:21" x14ac:dyDescent="0.25">
      <c r="A23" s="2" t="s">
        <v>161</v>
      </c>
      <c r="B23" s="2" t="s">
        <v>162</v>
      </c>
      <c r="C23" s="2" t="s">
        <v>47</v>
      </c>
      <c r="D23" s="2" t="s">
        <v>48</v>
      </c>
      <c r="E23" s="2" t="s">
        <v>83</v>
      </c>
      <c r="F23" s="2" t="s">
        <v>84</v>
      </c>
      <c r="G23" s="2" t="s">
        <v>38</v>
      </c>
      <c r="H23" s="2" t="s">
        <v>163</v>
      </c>
      <c r="I23" s="2" t="s">
        <v>164</v>
      </c>
      <c r="J23" s="3">
        <v>212</v>
      </c>
      <c r="K23" s="3">
        <v>4.0999999999999996</v>
      </c>
      <c r="L23" s="2" t="s">
        <v>54</v>
      </c>
      <c r="M23" s="3">
        <v>490</v>
      </c>
      <c r="N23" s="3">
        <v>54.6</v>
      </c>
      <c r="O23" s="3">
        <v>51870</v>
      </c>
      <c r="P23" s="3">
        <v>8000</v>
      </c>
      <c r="Q23" s="3">
        <v>1000</v>
      </c>
      <c r="R23" s="3">
        <v>0</v>
      </c>
      <c r="S23" s="3">
        <v>60870</v>
      </c>
      <c r="T23" s="2" t="s">
        <v>87</v>
      </c>
      <c r="U23" s="2" t="s">
        <v>88</v>
      </c>
    </row>
    <row r="24" spans="1:21" x14ac:dyDescent="0.25">
      <c r="A24" s="2" t="s">
        <v>165</v>
      </c>
      <c r="B24" s="2" t="s">
        <v>166</v>
      </c>
      <c r="C24" s="2" t="s">
        <v>142</v>
      </c>
      <c r="D24" s="2" t="s">
        <v>143</v>
      </c>
      <c r="E24" s="2" t="s">
        <v>111</v>
      </c>
      <c r="F24" s="2" t="s">
        <v>125</v>
      </c>
      <c r="G24" s="2" t="s">
        <v>68</v>
      </c>
      <c r="H24" s="2" t="s">
        <v>167</v>
      </c>
      <c r="I24" s="2" t="s">
        <v>168</v>
      </c>
      <c r="J24" s="3">
        <v>422</v>
      </c>
      <c r="K24" s="3">
        <v>7.5</v>
      </c>
      <c r="L24" s="2" t="s">
        <v>108</v>
      </c>
      <c r="M24" s="3">
        <v>216</v>
      </c>
      <c r="N24" s="3">
        <v>65.599999999999994</v>
      </c>
      <c r="O24" s="3">
        <v>62320</v>
      </c>
      <c r="P24" s="3">
        <v>7000</v>
      </c>
      <c r="Q24" s="3">
        <v>1500</v>
      </c>
      <c r="R24" s="3">
        <v>0</v>
      </c>
      <c r="S24" s="3">
        <v>70820</v>
      </c>
      <c r="T24" s="2" t="s">
        <v>87</v>
      </c>
      <c r="U24" s="2" t="s">
        <v>88</v>
      </c>
    </row>
    <row r="25" spans="1:21" x14ac:dyDescent="0.25">
      <c r="A25" s="2" t="s">
        <v>169</v>
      </c>
      <c r="B25" s="2" t="s">
        <v>170</v>
      </c>
      <c r="C25" s="2" t="s">
        <v>35</v>
      </c>
      <c r="D25" s="2" t="s">
        <v>36</v>
      </c>
      <c r="E25" s="2" t="s">
        <v>171</v>
      </c>
      <c r="F25" s="2" t="s">
        <v>77</v>
      </c>
      <c r="G25" s="2" t="s">
        <v>172</v>
      </c>
      <c r="H25" s="2" t="s">
        <v>151</v>
      </c>
      <c r="I25" s="2" t="s">
        <v>173</v>
      </c>
      <c r="J25" s="3">
        <v>745</v>
      </c>
      <c r="K25" s="3">
        <v>16.399999999999999</v>
      </c>
      <c r="L25" s="2" t="s">
        <v>120</v>
      </c>
      <c r="M25" s="3">
        <v>89</v>
      </c>
      <c r="N25" s="3">
        <v>122.6</v>
      </c>
      <c r="O25" s="3">
        <v>116470</v>
      </c>
      <c r="P25" s="3">
        <v>7000</v>
      </c>
      <c r="Q25" s="3">
        <v>500</v>
      </c>
      <c r="R25" s="3">
        <v>25000</v>
      </c>
      <c r="S25" s="3">
        <v>148970</v>
      </c>
      <c r="T25" s="2" t="s">
        <v>87</v>
      </c>
      <c r="U25" s="2" t="s">
        <v>88</v>
      </c>
    </row>
    <row r="26" spans="1:21" x14ac:dyDescent="0.25">
      <c r="A26" s="2" t="s">
        <v>174</v>
      </c>
      <c r="B26" s="2" t="s">
        <v>175</v>
      </c>
      <c r="C26" s="2" t="s">
        <v>123</v>
      </c>
      <c r="D26" s="2" t="s">
        <v>124</v>
      </c>
      <c r="E26" s="2" t="s">
        <v>176</v>
      </c>
      <c r="F26" s="2" t="s">
        <v>51</v>
      </c>
      <c r="G26" s="2" t="s">
        <v>50</v>
      </c>
      <c r="H26" s="2" t="s">
        <v>177</v>
      </c>
      <c r="I26" s="2" t="s">
        <v>178</v>
      </c>
      <c r="J26" s="3">
        <v>288</v>
      </c>
      <c r="K26" s="3">
        <v>5.5</v>
      </c>
      <c r="L26" s="2" t="s">
        <v>128</v>
      </c>
      <c r="M26" s="3">
        <v>335</v>
      </c>
      <c r="N26" s="3">
        <v>63.2</v>
      </c>
      <c r="O26" s="3">
        <v>60040</v>
      </c>
      <c r="P26" s="3">
        <v>12000</v>
      </c>
      <c r="Q26" s="3">
        <v>1500</v>
      </c>
      <c r="R26" s="3">
        <v>40000</v>
      </c>
      <c r="S26" s="3">
        <v>113540</v>
      </c>
      <c r="T26" s="2" t="s">
        <v>87</v>
      </c>
      <c r="U26" s="2" t="s">
        <v>88</v>
      </c>
    </row>
    <row r="27" spans="1:21" x14ac:dyDescent="0.25">
      <c r="A27" s="2" t="s">
        <v>179</v>
      </c>
      <c r="B27" s="2" t="s">
        <v>180</v>
      </c>
      <c r="C27" s="2" t="s">
        <v>47</v>
      </c>
      <c r="D27" s="2" t="s">
        <v>48</v>
      </c>
      <c r="E27" s="2" t="s">
        <v>171</v>
      </c>
      <c r="F27" s="2" t="s">
        <v>27</v>
      </c>
      <c r="G27" s="2" t="s">
        <v>60</v>
      </c>
      <c r="H27" s="2" t="s">
        <v>181</v>
      </c>
      <c r="I27" s="2" t="s">
        <v>182</v>
      </c>
      <c r="J27" s="3">
        <v>654</v>
      </c>
      <c r="K27" s="3">
        <v>14.2</v>
      </c>
      <c r="L27" s="2" t="s">
        <v>30</v>
      </c>
      <c r="M27" s="3">
        <v>496</v>
      </c>
      <c r="N27" s="3">
        <v>123</v>
      </c>
      <c r="O27" s="3">
        <v>116850</v>
      </c>
      <c r="P27" s="3">
        <v>12000</v>
      </c>
      <c r="Q27" s="3">
        <v>0</v>
      </c>
      <c r="R27" s="3">
        <v>15000</v>
      </c>
      <c r="S27" s="3">
        <v>143850</v>
      </c>
      <c r="T27" s="2" t="s">
        <v>31</v>
      </c>
      <c r="U27" s="2" t="s">
        <v>32</v>
      </c>
    </row>
    <row r="28" spans="1:21" x14ac:dyDescent="0.25">
      <c r="A28" s="2" t="s">
        <v>183</v>
      </c>
      <c r="B28" s="2" t="s">
        <v>137</v>
      </c>
      <c r="C28" s="2" t="s">
        <v>117</v>
      </c>
      <c r="D28" s="2" t="s">
        <v>118</v>
      </c>
      <c r="E28" s="2" t="s">
        <v>37</v>
      </c>
      <c r="F28" s="2" t="s">
        <v>38</v>
      </c>
      <c r="G28" s="2" t="s">
        <v>77</v>
      </c>
      <c r="H28" s="2" t="s">
        <v>113</v>
      </c>
      <c r="I28" s="2" t="s">
        <v>114</v>
      </c>
      <c r="J28" s="3">
        <v>61</v>
      </c>
      <c r="K28" s="3">
        <v>1.7</v>
      </c>
      <c r="L28" s="2" t="s">
        <v>30</v>
      </c>
      <c r="M28" s="3">
        <v>371</v>
      </c>
      <c r="N28" s="3">
        <v>11.1</v>
      </c>
      <c r="O28" s="3">
        <v>10545</v>
      </c>
      <c r="P28" s="3">
        <v>5000</v>
      </c>
      <c r="Q28" s="3">
        <v>2500</v>
      </c>
      <c r="R28" s="3">
        <v>5000</v>
      </c>
      <c r="S28" s="3">
        <v>23045</v>
      </c>
      <c r="T28" s="2" t="s">
        <v>31</v>
      </c>
      <c r="U28" s="2" t="s">
        <v>32</v>
      </c>
    </row>
    <row r="29" spans="1:21" x14ac:dyDescent="0.25">
      <c r="A29" s="2" t="s">
        <v>184</v>
      </c>
      <c r="B29" s="2" t="s">
        <v>185</v>
      </c>
      <c r="C29" s="2" t="s">
        <v>142</v>
      </c>
      <c r="D29" s="2" t="s">
        <v>143</v>
      </c>
      <c r="E29" s="2" t="s">
        <v>186</v>
      </c>
      <c r="F29" s="2" t="s">
        <v>112</v>
      </c>
      <c r="G29" s="2" t="s">
        <v>77</v>
      </c>
      <c r="H29" s="2" t="s">
        <v>69</v>
      </c>
      <c r="I29" s="2" t="s">
        <v>187</v>
      </c>
      <c r="J29" s="3">
        <v>773</v>
      </c>
      <c r="K29" s="3">
        <v>16.7</v>
      </c>
      <c r="L29" s="2" t="s">
        <v>120</v>
      </c>
      <c r="M29" s="3">
        <v>228</v>
      </c>
      <c r="N29" s="3">
        <v>144.6</v>
      </c>
      <c r="O29" s="3">
        <v>137370</v>
      </c>
      <c r="P29" s="3">
        <v>8000</v>
      </c>
      <c r="Q29" s="3">
        <v>1500</v>
      </c>
      <c r="R29" s="3">
        <v>40000</v>
      </c>
      <c r="S29" s="3">
        <v>186870</v>
      </c>
      <c r="T29" s="2" t="s">
        <v>43</v>
      </c>
      <c r="U29" s="2" t="s">
        <v>44</v>
      </c>
    </row>
    <row r="30" spans="1:21" x14ac:dyDescent="0.25">
      <c r="A30" s="2" t="s">
        <v>188</v>
      </c>
      <c r="B30" s="2" t="s">
        <v>96</v>
      </c>
      <c r="C30" s="2" t="s">
        <v>117</v>
      </c>
      <c r="D30" s="2" t="s">
        <v>118</v>
      </c>
      <c r="E30" s="2" t="s">
        <v>67</v>
      </c>
      <c r="F30" s="2" t="s">
        <v>50</v>
      </c>
      <c r="G30" s="2" t="s">
        <v>77</v>
      </c>
      <c r="H30" s="2" t="s">
        <v>189</v>
      </c>
      <c r="I30" s="2" t="s">
        <v>190</v>
      </c>
      <c r="J30" s="3">
        <v>653</v>
      </c>
      <c r="K30" s="3">
        <v>12.4</v>
      </c>
      <c r="L30" s="2" t="s">
        <v>108</v>
      </c>
      <c r="M30" s="3">
        <v>573</v>
      </c>
      <c r="N30" s="3">
        <v>132.69999999999999</v>
      </c>
      <c r="O30" s="3">
        <v>126065</v>
      </c>
      <c r="P30" s="3">
        <v>7000</v>
      </c>
      <c r="Q30" s="3">
        <v>2500</v>
      </c>
      <c r="R30" s="3">
        <v>0</v>
      </c>
      <c r="S30" s="3">
        <v>135565</v>
      </c>
      <c r="T30" s="2" t="s">
        <v>87</v>
      </c>
      <c r="U30" s="2" t="s">
        <v>88</v>
      </c>
    </row>
    <row r="31" spans="1:21" x14ac:dyDescent="0.25">
      <c r="A31" s="2" t="s">
        <v>191</v>
      </c>
      <c r="B31" s="2" t="s">
        <v>192</v>
      </c>
      <c r="C31" s="2" t="s">
        <v>142</v>
      </c>
      <c r="D31" s="2" t="s">
        <v>143</v>
      </c>
      <c r="E31" s="2" t="s">
        <v>104</v>
      </c>
      <c r="F31" s="2" t="s">
        <v>26</v>
      </c>
      <c r="G31" s="2" t="s">
        <v>112</v>
      </c>
      <c r="H31" s="2" t="s">
        <v>151</v>
      </c>
      <c r="I31" s="2" t="s">
        <v>189</v>
      </c>
      <c r="J31" s="3">
        <v>155</v>
      </c>
      <c r="K31" s="3">
        <v>3</v>
      </c>
      <c r="L31" s="2" t="s">
        <v>86</v>
      </c>
      <c r="M31" s="3">
        <v>97</v>
      </c>
      <c r="N31" s="3">
        <v>36.6</v>
      </c>
      <c r="O31" s="3">
        <v>34770</v>
      </c>
      <c r="P31" s="3">
        <v>10000</v>
      </c>
      <c r="Q31" s="3">
        <v>2000</v>
      </c>
      <c r="R31" s="3">
        <v>0</v>
      </c>
      <c r="S31" s="3">
        <v>46770</v>
      </c>
      <c r="T31" s="2" t="s">
        <v>87</v>
      </c>
      <c r="U31" s="2" t="s">
        <v>88</v>
      </c>
    </row>
    <row r="32" spans="1:21" x14ac:dyDescent="0.25">
      <c r="A32" s="2" t="s">
        <v>193</v>
      </c>
      <c r="B32" s="2" t="s">
        <v>194</v>
      </c>
      <c r="C32" s="2" t="s">
        <v>155</v>
      </c>
      <c r="D32" s="2" t="s">
        <v>156</v>
      </c>
      <c r="E32" s="2" t="s">
        <v>104</v>
      </c>
      <c r="F32" s="2" t="s">
        <v>26</v>
      </c>
      <c r="G32" s="2" t="s">
        <v>50</v>
      </c>
      <c r="H32" s="2" t="s">
        <v>195</v>
      </c>
      <c r="I32" s="2" t="s">
        <v>196</v>
      </c>
      <c r="J32" s="3">
        <v>320</v>
      </c>
      <c r="K32" s="3">
        <v>5.8</v>
      </c>
      <c r="L32" s="2" t="s">
        <v>86</v>
      </c>
      <c r="M32" s="3">
        <v>159</v>
      </c>
      <c r="N32" s="3">
        <v>54.8</v>
      </c>
      <c r="O32" s="3">
        <v>52060</v>
      </c>
      <c r="P32" s="3">
        <v>7000</v>
      </c>
      <c r="Q32" s="3">
        <v>500</v>
      </c>
      <c r="R32" s="3">
        <v>40000</v>
      </c>
      <c r="S32" s="3">
        <v>99560</v>
      </c>
      <c r="T32" s="2" t="s">
        <v>87</v>
      </c>
      <c r="U32" s="2" t="s">
        <v>88</v>
      </c>
    </row>
    <row r="33" spans="1:21" x14ac:dyDescent="0.25">
      <c r="A33" s="2" t="s">
        <v>197</v>
      </c>
      <c r="B33" s="2" t="s">
        <v>198</v>
      </c>
      <c r="C33" s="2" t="s">
        <v>57</v>
      </c>
      <c r="D33" s="2" t="s">
        <v>58</v>
      </c>
      <c r="E33" s="2" t="s">
        <v>111</v>
      </c>
      <c r="F33" s="2" t="s">
        <v>84</v>
      </c>
      <c r="G33" s="2" t="s">
        <v>51</v>
      </c>
      <c r="H33" s="2" t="s">
        <v>147</v>
      </c>
      <c r="I33" s="2" t="s">
        <v>199</v>
      </c>
      <c r="J33" s="3">
        <v>184</v>
      </c>
      <c r="K33" s="3">
        <v>3.9</v>
      </c>
      <c r="L33" s="2" t="s">
        <v>62</v>
      </c>
      <c r="M33" s="3">
        <v>374</v>
      </c>
      <c r="N33" s="3">
        <v>29</v>
      </c>
      <c r="O33" s="3">
        <v>27550</v>
      </c>
      <c r="P33" s="3">
        <v>10000</v>
      </c>
      <c r="Q33" s="3">
        <v>2000</v>
      </c>
      <c r="R33" s="3">
        <v>40000</v>
      </c>
      <c r="S33" s="3">
        <v>79550</v>
      </c>
      <c r="T33" s="2" t="s">
        <v>87</v>
      </c>
      <c r="U33" s="2" t="s">
        <v>88</v>
      </c>
    </row>
    <row r="34" spans="1:21" x14ac:dyDescent="0.25">
      <c r="A34" s="2" t="s">
        <v>200</v>
      </c>
      <c r="B34" s="2" t="s">
        <v>201</v>
      </c>
      <c r="C34" s="2" t="s">
        <v>155</v>
      </c>
      <c r="D34" s="2" t="s">
        <v>156</v>
      </c>
      <c r="E34" s="2" t="s">
        <v>91</v>
      </c>
      <c r="F34" s="2" t="s">
        <v>38</v>
      </c>
      <c r="G34" s="2" t="s">
        <v>51</v>
      </c>
      <c r="H34" s="2" t="s">
        <v>52</v>
      </c>
      <c r="I34" s="2" t="s">
        <v>202</v>
      </c>
      <c r="J34" s="3">
        <v>546</v>
      </c>
      <c r="K34" s="3">
        <v>10.3</v>
      </c>
      <c r="L34" s="2" t="s">
        <v>94</v>
      </c>
      <c r="M34" s="3">
        <v>583</v>
      </c>
      <c r="N34" s="3">
        <v>110.2</v>
      </c>
      <c r="O34" s="3">
        <v>104690</v>
      </c>
      <c r="P34" s="3">
        <v>7000</v>
      </c>
      <c r="Q34" s="3">
        <v>1000</v>
      </c>
      <c r="R34" s="3">
        <v>25000</v>
      </c>
      <c r="S34" s="3">
        <v>137690</v>
      </c>
      <c r="T34" s="2" t="s">
        <v>87</v>
      </c>
      <c r="U34" s="2" t="s">
        <v>88</v>
      </c>
    </row>
    <row r="35" spans="1:21" x14ac:dyDescent="0.25">
      <c r="A35" s="2" t="s">
        <v>203</v>
      </c>
      <c r="B35" s="2" t="s">
        <v>204</v>
      </c>
      <c r="C35" s="2" t="s">
        <v>23</v>
      </c>
      <c r="D35" s="2" t="s">
        <v>24</v>
      </c>
      <c r="E35" s="2" t="s">
        <v>67</v>
      </c>
      <c r="F35" s="2" t="s">
        <v>112</v>
      </c>
      <c r="G35" s="2" t="s">
        <v>84</v>
      </c>
      <c r="H35" s="2" t="s">
        <v>177</v>
      </c>
      <c r="I35" s="2" t="s">
        <v>205</v>
      </c>
      <c r="J35" s="3">
        <v>613</v>
      </c>
      <c r="K35" s="3">
        <v>13</v>
      </c>
      <c r="L35" s="2" t="s">
        <v>54</v>
      </c>
      <c r="M35" s="3">
        <v>269</v>
      </c>
      <c r="N35" s="3">
        <v>166</v>
      </c>
      <c r="O35" s="3">
        <v>157700</v>
      </c>
      <c r="P35" s="3">
        <v>10000</v>
      </c>
      <c r="Q35" s="3">
        <v>1000</v>
      </c>
      <c r="R35" s="3">
        <v>40000</v>
      </c>
      <c r="S35" s="3">
        <v>208700</v>
      </c>
      <c r="T35" s="2" t="s">
        <v>87</v>
      </c>
      <c r="U35" s="2" t="s">
        <v>88</v>
      </c>
    </row>
    <row r="36" spans="1:21" x14ac:dyDescent="0.25">
      <c r="A36" s="2" t="s">
        <v>206</v>
      </c>
      <c r="B36" s="2" t="s">
        <v>194</v>
      </c>
      <c r="C36" s="2" t="s">
        <v>207</v>
      </c>
      <c r="D36" s="2" t="s">
        <v>208</v>
      </c>
      <c r="E36" s="2" t="s">
        <v>111</v>
      </c>
      <c r="F36" s="2" t="s">
        <v>51</v>
      </c>
      <c r="G36" s="2" t="s">
        <v>77</v>
      </c>
      <c r="H36" s="2" t="s">
        <v>163</v>
      </c>
      <c r="I36" s="2" t="s">
        <v>209</v>
      </c>
      <c r="J36" s="3">
        <v>458</v>
      </c>
      <c r="K36" s="3">
        <v>8.4</v>
      </c>
      <c r="L36" s="2" t="s">
        <v>120</v>
      </c>
      <c r="M36" s="3">
        <v>538</v>
      </c>
      <c r="N36" s="3">
        <v>130.19999999999999</v>
      </c>
      <c r="O36" s="3">
        <v>123690</v>
      </c>
      <c r="P36" s="3">
        <v>8000</v>
      </c>
      <c r="Q36" s="3">
        <v>1000</v>
      </c>
      <c r="R36" s="3">
        <v>15000</v>
      </c>
      <c r="S36" s="3">
        <v>147690</v>
      </c>
      <c r="T36" s="2" t="s">
        <v>43</v>
      </c>
      <c r="U36" s="2" t="s">
        <v>44</v>
      </c>
    </row>
    <row r="37" spans="1:21" x14ac:dyDescent="0.25">
      <c r="A37" s="2" t="s">
        <v>210</v>
      </c>
      <c r="B37" s="2" t="s">
        <v>22</v>
      </c>
      <c r="C37" s="2" t="s">
        <v>57</v>
      </c>
      <c r="D37" s="2" t="s">
        <v>58</v>
      </c>
      <c r="E37" s="2" t="s">
        <v>59</v>
      </c>
      <c r="F37" s="2" t="s">
        <v>38</v>
      </c>
      <c r="G37" s="2" t="s">
        <v>105</v>
      </c>
      <c r="H37" s="2" t="s">
        <v>28</v>
      </c>
      <c r="I37" s="2" t="s">
        <v>211</v>
      </c>
      <c r="J37" s="3">
        <v>677</v>
      </c>
      <c r="K37" s="3">
        <v>14.1</v>
      </c>
      <c r="L37" s="2" t="s">
        <v>86</v>
      </c>
      <c r="M37" s="3">
        <v>448</v>
      </c>
      <c r="N37" s="3">
        <v>150.19999999999999</v>
      </c>
      <c r="O37" s="3">
        <v>142690</v>
      </c>
      <c r="P37" s="3">
        <v>10000</v>
      </c>
      <c r="Q37" s="3">
        <v>2500</v>
      </c>
      <c r="R37" s="3">
        <v>0</v>
      </c>
      <c r="S37" s="3">
        <v>155190</v>
      </c>
      <c r="T37" s="2" t="s">
        <v>43</v>
      </c>
      <c r="U37" s="2" t="s">
        <v>44</v>
      </c>
    </row>
    <row r="38" spans="1:21" x14ac:dyDescent="0.25">
      <c r="A38" s="2" t="s">
        <v>212</v>
      </c>
      <c r="B38" s="2" t="s">
        <v>122</v>
      </c>
      <c r="C38" s="2" t="s">
        <v>155</v>
      </c>
      <c r="D38" s="2" t="s">
        <v>156</v>
      </c>
      <c r="E38" s="2" t="s">
        <v>91</v>
      </c>
      <c r="F38" s="2" t="s">
        <v>26</v>
      </c>
      <c r="G38" s="2" t="s">
        <v>105</v>
      </c>
      <c r="H38" s="2" t="s">
        <v>131</v>
      </c>
      <c r="I38" s="2" t="s">
        <v>213</v>
      </c>
      <c r="J38" s="3">
        <v>87</v>
      </c>
      <c r="K38" s="3">
        <v>2.2000000000000002</v>
      </c>
      <c r="L38" s="2" t="s">
        <v>71</v>
      </c>
      <c r="M38" s="3">
        <v>236</v>
      </c>
      <c r="N38" s="3">
        <v>23.8</v>
      </c>
      <c r="O38" s="3">
        <v>22610</v>
      </c>
      <c r="P38" s="3">
        <v>10000</v>
      </c>
      <c r="Q38" s="3">
        <v>1000</v>
      </c>
      <c r="R38" s="3">
        <v>0</v>
      </c>
      <c r="S38" s="3">
        <v>33610</v>
      </c>
      <c r="T38" s="2" t="s">
        <v>87</v>
      </c>
      <c r="U38" s="2" t="s">
        <v>88</v>
      </c>
    </row>
    <row r="39" spans="1:21" x14ac:dyDescent="0.25">
      <c r="A39" s="2" t="s">
        <v>214</v>
      </c>
      <c r="B39" s="2" t="s">
        <v>215</v>
      </c>
      <c r="C39" s="2" t="s">
        <v>216</v>
      </c>
      <c r="D39" s="2" t="s">
        <v>217</v>
      </c>
      <c r="E39" s="2" t="s">
        <v>176</v>
      </c>
      <c r="F39" s="2" t="s">
        <v>84</v>
      </c>
      <c r="G39" s="2" t="s">
        <v>77</v>
      </c>
      <c r="H39" s="2" t="s">
        <v>52</v>
      </c>
      <c r="I39" s="2" t="s">
        <v>218</v>
      </c>
      <c r="J39" s="3">
        <v>344</v>
      </c>
      <c r="K39" s="3">
        <v>6</v>
      </c>
      <c r="L39" s="2" t="s">
        <v>62</v>
      </c>
      <c r="M39" s="3">
        <v>103</v>
      </c>
      <c r="N39" s="3">
        <v>52.9</v>
      </c>
      <c r="O39" s="3">
        <v>50255</v>
      </c>
      <c r="P39" s="3">
        <v>8000</v>
      </c>
      <c r="Q39" s="3">
        <v>500</v>
      </c>
      <c r="R39" s="3">
        <v>0</v>
      </c>
      <c r="S39" s="3">
        <v>58755</v>
      </c>
      <c r="T39" s="2" t="s">
        <v>43</v>
      </c>
      <c r="U39" s="2" t="s">
        <v>44</v>
      </c>
    </row>
    <row r="40" spans="1:21" x14ac:dyDescent="0.25">
      <c r="A40" s="2" t="s">
        <v>219</v>
      </c>
      <c r="B40" s="2" t="s">
        <v>220</v>
      </c>
      <c r="C40" s="2" t="s">
        <v>35</v>
      </c>
      <c r="D40" s="2" t="s">
        <v>36</v>
      </c>
      <c r="E40" s="2" t="s">
        <v>37</v>
      </c>
      <c r="F40" s="2" t="s">
        <v>50</v>
      </c>
      <c r="G40" s="2" t="s">
        <v>84</v>
      </c>
      <c r="H40" s="2" t="s">
        <v>113</v>
      </c>
      <c r="I40" s="2" t="s">
        <v>221</v>
      </c>
      <c r="J40" s="3">
        <v>80</v>
      </c>
      <c r="K40" s="3">
        <v>2.1</v>
      </c>
      <c r="L40" s="2" t="s">
        <v>128</v>
      </c>
      <c r="M40" s="3">
        <v>273</v>
      </c>
      <c r="N40" s="3">
        <v>16.3</v>
      </c>
      <c r="O40" s="3">
        <v>15485</v>
      </c>
      <c r="P40" s="3">
        <v>8000</v>
      </c>
      <c r="Q40" s="3">
        <v>1000</v>
      </c>
      <c r="R40" s="3">
        <v>0</v>
      </c>
      <c r="S40" s="3">
        <v>24485</v>
      </c>
      <c r="T40" s="2" t="s">
        <v>31</v>
      </c>
      <c r="U40" s="2" t="s">
        <v>32</v>
      </c>
    </row>
    <row r="41" spans="1:21" x14ac:dyDescent="0.25">
      <c r="A41" s="2" t="s">
        <v>222</v>
      </c>
      <c r="B41" s="2" t="s">
        <v>223</v>
      </c>
      <c r="C41" s="2" t="s">
        <v>35</v>
      </c>
      <c r="D41" s="2" t="s">
        <v>36</v>
      </c>
      <c r="E41" s="2" t="s">
        <v>49</v>
      </c>
      <c r="F41" s="2" t="s">
        <v>60</v>
      </c>
      <c r="G41" s="2" t="s">
        <v>27</v>
      </c>
      <c r="H41" s="2" t="s">
        <v>163</v>
      </c>
      <c r="I41" s="2" t="s">
        <v>224</v>
      </c>
      <c r="J41" s="3">
        <v>170</v>
      </c>
      <c r="K41" s="3">
        <v>3.3</v>
      </c>
      <c r="L41" s="2" t="s">
        <v>120</v>
      </c>
      <c r="M41" s="3">
        <v>456</v>
      </c>
      <c r="N41" s="3">
        <v>26.9</v>
      </c>
      <c r="O41" s="3">
        <v>25555</v>
      </c>
      <c r="P41" s="3">
        <v>7000</v>
      </c>
      <c r="Q41" s="3">
        <v>0</v>
      </c>
      <c r="R41" s="3">
        <v>0</v>
      </c>
      <c r="S41" s="3">
        <v>32555</v>
      </c>
      <c r="T41" s="2" t="s">
        <v>87</v>
      </c>
      <c r="U41" s="2" t="s">
        <v>88</v>
      </c>
    </row>
    <row r="42" spans="1:21" x14ac:dyDescent="0.25">
      <c r="A42" s="2" t="s">
        <v>225</v>
      </c>
      <c r="B42" s="2" t="s">
        <v>226</v>
      </c>
      <c r="C42" s="2" t="s">
        <v>123</v>
      </c>
      <c r="D42" s="2" t="s">
        <v>124</v>
      </c>
      <c r="E42" s="2" t="s">
        <v>104</v>
      </c>
      <c r="F42" s="2" t="s">
        <v>26</v>
      </c>
      <c r="G42" s="2" t="s">
        <v>172</v>
      </c>
      <c r="H42" s="2" t="s">
        <v>163</v>
      </c>
      <c r="I42" s="2" t="s">
        <v>227</v>
      </c>
      <c r="J42" s="3">
        <v>183</v>
      </c>
      <c r="K42" s="3">
        <v>3.9</v>
      </c>
      <c r="L42" s="2" t="s">
        <v>30</v>
      </c>
      <c r="M42" s="3">
        <v>120</v>
      </c>
      <c r="N42" s="3">
        <v>36.5</v>
      </c>
      <c r="O42" s="3">
        <v>34675</v>
      </c>
      <c r="P42" s="3">
        <v>8000</v>
      </c>
      <c r="Q42" s="3">
        <v>0</v>
      </c>
      <c r="R42" s="3">
        <v>15000</v>
      </c>
      <c r="S42" s="3">
        <v>57675</v>
      </c>
      <c r="T42" s="2" t="s">
        <v>43</v>
      </c>
      <c r="U42" s="2" t="s">
        <v>44</v>
      </c>
    </row>
    <row r="43" spans="1:21" x14ac:dyDescent="0.25">
      <c r="A43" s="2" t="s">
        <v>228</v>
      </c>
      <c r="B43" s="2" t="s">
        <v>229</v>
      </c>
      <c r="C43" s="2" t="s">
        <v>47</v>
      </c>
      <c r="D43" s="2" t="s">
        <v>48</v>
      </c>
      <c r="E43" s="2" t="s">
        <v>186</v>
      </c>
      <c r="F43" s="2" t="s">
        <v>112</v>
      </c>
      <c r="G43" s="2" t="s">
        <v>125</v>
      </c>
      <c r="H43" s="2" t="s">
        <v>28</v>
      </c>
      <c r="I43" s="2" t="s">
        <v>205</v>
      </c>
      <c r="J43" s="3">
        <v>530</v>
      </c>
      <c r="K43" s="3">
        <v>11.5</v>
      </c>
      <c r="L43" s="2" t="s">
        <v>94</v>
      </c>
      <c r="M43" s="3">
        <v>545</v>
      </c>
      <c r="N43" s="3">
        <v>108.3</v>
      </c>
      <c r="O43" s="3">
        <v>102885</v>
      </c>
      <c r="P43" s="3">
        <v>12000</v>
      </c>
      <c r="Q43" s="3">
        <v>1000</v>
      </c>
      <c r="R43" s="3">
        <v>10000</v>
      </c>
      <c r="S43" s="3">
        <v>125885</v>
      </c>
      <c r="T43" s="2" t="s">
        <v>43</v>
      </c>
      <c r="U43" s="2" t="s">
        <v>44</v>
      </c>
    </row>
    <row r="44" spans="1:21" x14ac:dyDescent="0.25">
      <c r="A44" s="2" t="s">
        <v>230</v>
      </c>
      <c r="B44" s="2" t="s">
        <v>231</v>
      </c>
      <c r="C44" s="2" t="s">
        <v>123</v>
      </c>
      <c r="D44" s="2" t="s">
        <v>124</v>
      </c>
      <c r="E44" s="2" t="s">
        <v>171</v>
      </c>
      <c r="F44" s="2" t="s">
        <v>68</v>
      </c>
      <c r="G44" s="2" t="s">
        <v>27</v>
      </c>
      <c r="H44" s="2" t="s">
        <v>28</v>
      </c>
      <c r="I44" s="2" t="s">
        <v>232</v>
      </c>
      <c r="J44" s="3">
        <v>521</v>
      </c>
      <c r="K44" s="3">
        <v>10.1</v>
      </c>
      <c r="L44" s="2" t="s">
        <v>30</v>
      </c>
      <c r="M44" s="3">
        <v>79</v>
      </c>
      <c r="N44" s="3">
        <v>104.6</v>
      </c>
      <c r="O44" s="3">
        <v>99370</v>
      </c>
      <c r="P44" s="3">
        <v>8000</v>
      </c>
      <c r="Q44" s="3">
        <v>500</v>
      </c>
      <c r="R44" s="3">
        <v>25000</v>
      </c>
      <c r="S44" s="3">
        <v>132870</v>
      </c>
      <c r="T44" s="2" t="s">
        <v>87</v>
      </c>
      <c r="U44" s="2" t="s">
        <v>88</v>
      </c>
    </row>
    <row r="45" spans="1:21" x14ac:dyDescent="0.25">
      <c r="A45" s="2" t="s">
        <v>233</v>
      </c>
      <c r="B45" s="2" t="s">
        <v>234</v>
      </c>
      <c r="C45" s="2" t="s">
        <v>35</v>
      </c>
      <c r="D45" s="2" t="s">
        <v>36</v>
      </c>
      <c r="E45" s="2" t="s">
        <v>67</v>
      </c>
      <c r="F45" s="2" t="s">
        <v>112</v>
      </c>
      <c r="G45" s="2" t="s">
        <v>27</v>
      </c>
      <c r="H45" s="2" t="s">
        <v>181</v>
      </c>
      <c r="I45" s="2" t="s">
        <v>235</v>
      </c>
      <c r="J45" s="3">
        <v>670</v>
      </c>
      <c r="K45" s="3">
        <v>12</v>
      </c>
      <c r="L45" s="2" t="s">
        <v>108</v>
      </c>
      <c r="M45" s="3">
        <v>466</v>
      </c>
      <c r="N45" s="3">
        <v>134.9</v>
      </c>
      <c r="O45" s="3">
        <v>128155</v>
      </c>
      <c r="P45" s="3">
        <v>7000</v>
      </c>
      <c r="Q45" s="3">
        <v>2500</v>
      </c>
      <c r="R45" s="3">
        <v>25000</v>
      </c>
      <c r="S45" s="3">
        <v>162655</v>
      </c>
      <c r="T45" s="2" t="s">
        <v>236</v>
      </c>
      <c r="U45" s="2" t="s">
        <v>32</v>
      </c>
    </row>
    <row r="46" spans="1:21" x14ac:dyDescent="0.25">
      <c r="A46" s="2" t="s">
        <v>237</v>
      </c>
      <c r="B46" s="2" t="s">
        <v>238</v>
      </c>
      <c r="C46" s="2" t="s">
        <v>239</v>
      </c>
      <c r="D46" s="2" t="s">
        <v>240</v>
      </c>
      <c r="E46" s="2" t="s">
        <v>176</v>
      </c>
      <c r="F46" s="2" t="s">
        <v>92</v>
      </c>
      <c r="G46" s="2" t="s">
        <v>68</v>
      </c>
      <c r="H46" s="2" t="s">
        <v>28</v>
      </c>
      <c r="I46" s="2" t="s">
        <v>241</v>
      </c>
      <c r="J46" s="3">
        <v>250</v>
      </c>
      <c r="K46" s="3">
        <v>4.4000000000000004</v>
      </c>
      <c r="L46" s="2" t="s">
        <v>42</v>
      </c>
      <c r="M46" s="3">
        <v>427</v>
      </c>
      <c r="N46" s="3">
        <v>50.8</v>
      </c>
      <c r="O46" s="3">
        <v>48260</v>
      </c>
      <c r="P46" s="3">
        <v>12000</v>
      </c>
      <c r="Q46" s="3">
        <v>1000</v>
      </c>
      <c r="R46" s="3">
        <v>15000</v>
      </c>
      <c r="S46" s="3">
        <v>76260</v>
      </c>
      <c r="T46" s="2" t="s">
        <v>236</v>
      </c>
      <c r="U46" s="2" t="s">
        <v>32</v>
      </c>
    </row>
    <row r="47" spans="1:21" x14ac:dyDescent="0.25">
      <c r="A47" s="2" t="s">
        <v>242</v>
      </c>
      <c r="B47" s="2" t="s">
        <v>243</v>
      </c>
      <c r="C47" s="2" t="s">
        <v>216</v>
      </c>
      <c r="D47" s="2" t="s">
        <v>217</v>
      </c>
      <c r="E47" s="2" t="s">
        <v>59</v>
      </c>
      <c r="F47" s="2" t="s">
        <v>39</v>
      </c>
      <c r="G47" s="2" t="s">
        <v>27</v>
      </c>
      <c r="H47" s="2" t="s">
        <v>69</v>
      </c>
      <c r="I47" s="2" t="s">
        <v>244</v>
      </c>
      <c r="J47" s="3">
        <v>373</v>
      </c>
      <c r="K47" s="3">
        <v>7.8</v>
      </c>
      <c r="L47" s="2" t="s">
        <v>128</v>
      </c>
      <c r="M47" s="3">
        <v>598</v>
      </c>
      <c r="N47" s="3">
        <v>58.7</v>
      </c>
      <c r="O47" s="3">
        <v>55765</v>
      </c>
      <c r="P47" s="3">
        <v>7000</v>
      </c>
      <c r="Q47" s="3">
        <v>500</v>
      </c>
      <c r="R47" s="3">
        <v>0</v>
      </c>
      <c r="S47" s="3">
        <v>63265</v>
      </c>
      <c r="T47" s="2" t="s">
        <v>236</v>
      </c>
      <c r="U47" s="2" t="s">
        <v>32</v>
      </c>
    </row>
    <row r="48" spans="1:21" x14ac:dyDescent="0.25">
      <c r="A48" s="2" t="s">
        <v>245</v>
      </c>
      <c r="B48" s="2" t="s">
        <v>246</v>
      </c>
      <c r="C48" s="2" t="s">
        <v>117</v>
      </c>
      <c r="D48" s="2" t="s">
        <v>118</v>
      </c>
      <c r="E48" s="2" t="s">
        <v>59</v>
      </c>
      <c r="F48" s="2" t="s">
        <v>26</v>
      </c>
      <c r="G48" s="2" t="s">
        <v>172</v>
      </c>
      <c r="H48" s="2" t="s">
        <v>189</v>
      </c>
      <c r="I48" s="2" t="s">
        <v>247</v>
      </c>
      <c r="J48" s="3">
        <v>597</v>
      </c>
      <c r="K48" s="3">
        <v>10.4</v>
      </c>
      <c r="L48" s="2" t="s">
        <v>94</v>
      </c>
      <c r="M48" s="3">
        <v>282</v>
      </c>
      <c r="N48" s="3">
        <v>130.30000000000001</v>
      </c>
      <c r="O48" s="3">
        <v>123785</v>
      </c>
      <c r="P48" s="3">
        <v>8000</v>
      </c>
      <c r="Q48" s="3">
        <v>0</v>
      </c>
      <c r="R48" s="3">
        <v>40000</v>
      </c>
      <c r="S48" s="3">
        <v>171785</v>
      </c>
      <c r="T48" s="2" t="s">
        <v>87</v>
      </c>
      <c r="U48" s="2" t="s">
        <v>88</v>
      </c>
    </row>
    <row r="49" spans="1:21" x14ac:dyDescent="0.25">
      <c r="A49" s="2" t="s">
        <v>248</v>
      </c>
      <c r="B49" s="2" t="s">
        <v>249</v>
      </c>
      <c r="C49" s="2" t="s">
        <v>207</v>
      </c>
      <c r="D49" s="2" t="s">
        <v>208</v>
      </c>
      <c r="E49" s="2" t="s">
        <v>37</v>
      </c>
      <c r="F49" s="2" t="s">
        <v>105</v>
      </c>
      <c r="G49" s="2" t="s">
        <v>27</v>
      </c>
      <c r="H49" s="2" t="s">
        <v>28</v>
      </c>
      <c r="I49" s="2" t="s">
        <v>250</v>
      </c>
      <c r="J49" s="3">
        <v>774</v>
      </c>
      <c r="K49" s="3">
        <v>16</v>
      </c>
      <c r="L49" s="2" t="s">
        <v>94</v>
      </c>
      <c r="M49" s="3">
        <v>530</v>
      </c>
      <c r="N49" s="3">
        <v>156.80000000000001</v>
      </c>
      <c r="O49" s="3">
        <v>148960</v>
      </c>
      <c r="P49" s="3">
        <v>8000</v>
      </c>
      <c r="Q49" s="3">
        <v>500</v>
      </c>
      <c r="R49" s="3">
        <v>0</v>
      </c>
      <c r="S49" s="3">
        <v>157460</v>
      </c>
      <c r="T49" s="2" t="s">
        <v>87</v>
      </c>
      <c r="U49" s="2" t="s">
        <v>88</v>
      </c>
    </row>
    <row r="50" spans="1:21" x14ac:dyDescent="0.25">
      <c r="A50" s="2" t="s">
        <v>251</v>
      </c>
      <c r="B50" s="2" t="s">
        <v>252</v>
      </c>
      <c r="C50" s="2" t="s">
        <v>47</v>
      </c>
      <c r="D50" s="2" t="s">
        <v>48</v>
      </c>
      <c r="E50" s="2" t="s">
        <v>49</v>
      </c>
      <c r="F50" s="2" t="s">
        <v>68</v>
      </c>
      <c r="G50" s="2" t="s">
        <v>77</v>
      </c>
      <c r="H50" s="2" t="s">
        <v>126</v>
      </c>
      <c r="I50" s="2" t="s">
        <v>253</v>
      </c>
      <c r="J50" s="3">
        <v>563</v>
      </c>
      <c r="K50" s="3">
        <v>12.8</v>
      </c>
      <c r="L50" s="2" t="s">
        <v>94</v>
      </c>
      <c r="M50" s="3">
        <v>137</v>
      </c>
      <c r="N50" s="3">
        <v>86.9</v>
      </c>
      <c r="O50" s="3">
        <v>82555</v>
      </c>
      <c r="P50" s="3">
        <v>5000</v>
      </c>
      <c r="Q50" s="3">
        <v>2000</v>
      </c>
      <c r="R50" s="3">
        <v>15000</v>
      </c>
      <c r="S50" s="3">
        <v>104555</v>
      </c>
      <c r="T50" s="2" t="s">
        <v>31</v>
      </c>
      <c r="U50" s="2" t="s">
        <v>32</v>
      </c>
    </row>
    <row r="51" spans="1:21" x14ac:dyDescent="0.25">
      <c r="A51" s="2" t="s">
        <v>254</v>
      </c>
      <c r="B51" s="2" t="s">
        <v>255</v>
      </c>
      <c r="C51" s="2" t="s">
        <v>35</v>
      </c>
      <c r="D51" s="2" t="s">
        <v>36</v>
      </c>
      <c r="E51" s="2" t="s">
        <v>256</v>
      </c>
      <c r="F51" s="2" t="s">
        <v>77</v>
      </c>
      <c r="G51" s="2" t="s">
        <v>39</v>
      </c>
      <c r="H51" s="2" t="s">
        <v>106</v>
      </c>
      <c r="I51" s="2" t="s">
        <v>257</v>
      </c>
      <c r="J51" s="3">
        <v>73</v>
      </c>
      <c r="K51" s="3">
        <v>2.2000000000000002</v>
      </c>
      <c r="L51" s="2" t="s">
        <v>42</v>
      </c>
      <c r="M51" s="3">
        <v>151</v>
      </c>
      <c r="N51" s="3">
        <v>11.5</v>
      </c>
      <c r="O51" s="3">
        <v>10925</v>
      </c>
      <c r="P51" s="3">
        <v>7000</v>
      </c>
      <c r="Q51" s="3">
        <v>2500</v>
      </c>
      <c r="R51" s="3">
        <v>0</v>
      </c>
      <c r="S51" s="3">
        <v>20425</v>
      </c>
      <c r="T51" s="2" t="s">
        <v>87</v>
      </c>
      <c r="U51" s="2" t="s">
        <v>88</v>
      </c>
    </row>
    <row r="52" spans="1:21" x14ac:dyDescent="0.25">
      <c r="A52" s="2" t="s">
        <v>258</v>
      </c>
      <c r="B52" s="2" t="s">
        <v>259</v>
      </c>
      <c r="C52" s="2" t="s">
        <v>102</v>
      </c>
      <c r="D52" s="2" t="s">
        <v>103</v>
      </c>
      <c r="E52" s="2" t="s">
        <v>111</v>
      </c>
      <c r="F52" s="2" t="s">
        <v>60</v>
      </c>
      <c r="G52" s="2" t="s">
        <v>105</v>
      </c>
      <c r="H52" s="2" t="s">
        <v>260</v>
      </c>
      <c r="I52" s="2" t="s">
        <v>152</v>
      </c>
      <c r="J52" s="3">
        <v>136</v>
      </c>
      <c r="K52" s="3">
        <v>3.4</v>
      </c>
      <c r="L52" s="2" t="s">
        <v>71</v>
      </c>
      <c r="M52" s="3">
        <v>348</v>
      </c>
      <c r="N52" s="3">
        <v>37.799999999999997</v>
      </c>
      <c r="O52" s="3">
        <v>35910</v>
      </c>
      <c r="P52" s="3">
        <v>8000</v>
      </c>
      <c r="Q52" s="3">
        <v>2500</v>
      </c>
      <c r="R52" s="3">
        <v>5000</v>
      </c>
      <c r="S52" s="3">
        <v>51410</v>
      </c>
      <c r="T52" s="2" t="s">
        <v>236</v>
      </c>
      <c r="U52" s="2" t="s">
        <v>32</v>
      </c>
    </row>
    <row r="53" spans="1:21" x14ac:dyDescent="0.25">
      <c r="A53" s="2" t="s">
        <v>261</v>
      </c>
      <c r="B53" s="2" t="s">
        <v>262</v>
      </c>
      <c r="C53" s="2" t="s">
        <v>47</v>
      </c>
      <c r="D53" s="2" t="s">
        <v>48</v>
      </c>
      <c r="E53" s="2" t="s">
        <v>104</v>
      </c>
      <c r="F53" s="2" t="s">
        <v>50</v>
      </c>
      <c r="G53" s="2" t="s">
        <v>27</v>
      </c>
      <c r="H53" s="2" t="s">
        <v>113</v>
      </c>
      <c r="I53" s="2" t="s">
        <v>263</v>
      </c>
      <c r="J53" s="3">
        <v>700</v>
      </c>
      <c r="K53" s="3">
        <v>13.7</v>
      </c>
      <c r="L53" s="2" t="s">
        <v>54</v>
      </c>
      <c r="M53" s="3">
        <v>322</v>
      </c>
      <c r="N53" s="3">
        <v>117.1</v>
      </c>
      <c r="O53" s="3">
        <v>111245</v>
      </c>
      <c r="P53" s="3">
        <v>5000</v>
      </c>
      <c r="Q53" s="3">
        <v>0</v>
      </c>
      <c r="R53" s="3">
        <v>0</v>
      </c>
      <c r="S53" s="3">
        <v>116245</v>
      </c>
      <c r="T53" s="2" t="s">
        <v>43</v>
      </c>
      <c r="U53" s="2" t="s">
        <v>44</v>
      </c>
    </row>
    <row r="54" spans="1:21" x14ac:dyDescent="0.25">
      <c r="A54" s="2" t="s">
        <v>264</v>
      </c>
      <c r="B54" s="2" t="s">
        <v>265</v>
      </c>
      <c r="C54" s="2" t="s">
        <v>81</v>
      </c>
      <c r="D54" s="2" t="s">
        <v>82</v>
      </c>
      <c r="E54" s="2" t="s">
        <v>59</v>
      </c>
      <c r="F54" s="2" t="s">
        <v>51</v>
      </c>
      <c r="G54" s="2" t="s">
        <v>26</v>
      </c>
      <c r="H54" s="2" t="s">
        <v>131</v>
      </c>
      <c r="I54" s="2" t="s">
        <v>266</v>
      </c>
      <c r="J54" s="3">
        <v>355</v>
      </c>
      <c r="K54" s="3">
        <v>6.6</v>
      </c>
      <c r="L54" s="2" t="s">
        <v>120</v>
      </c>
      <c r="M54" s="3">
        <v>328</v>
      </c>
      <c r="N54" s="3">
        <v>71</v>
      </c>
      <c r="O54" s="3">
        <v>67450</v>
      </c>
      <c r="P54" s="3">
        <v>10000</v>
      </c>
      <c r="Q54" s="3">
        <v>1500</v>
      </c>
      <c r="R54" s="3">
        <v>0</v>
      </c>
      <c r="S54" s="3">
        <v>78950</v>
      </c>
      <c r="T54" s="2" t="s">
        <v>31</v>
      </c>
      <c r="U54" s="2" t="s">
        <v>32</v>
      </c>
    </row>
    <row r="55" spans="1:21" x14ac:dyDescent="0.25">
      <c r="A55" s="2" t="s">
        <v>267</v>
      </c>
      <c r="B55" s="2" t="s">
        <v>220</v>
      </c>
      <c r="C55" s="2" t="s">
        <v>155</v>
      </c>
      <c r="D55" s="2" t="s">
        <v>156</v>
      </c>
      <c r="E55" s="2" t="s">
        <v>186</v>
      </c>
      <c r="F55" s="2" t="s">
        <v>38</v>
      </c>
      <c r="G55" s="2" t="s">
        <v>112</v>
      </c>
      <c r="H55" s="2" t="s">
        <v>181</v>
      </c>
      <c r="I55" s="2" t="s">
        <v>173</v>
      </c>
      <c r="J55" s="3">
        <v>678</v>
      </c>
      <c r="K55" s="3">
        <v>15.9</v>
      </c>
      <c r="L55" s="2" t="s">
        <v>42</v>
      </c>
      <c r="M55" s="3">
        <v>71</v>
      </c>
      <c r="N55" s="3">
        <v>104.3</v>
      </c>
      <c r="O55" s="3">
        <v>99085</v>
      </c>
      <c r="P55" s="3">
        <v>8000</v>
      </c>
      <c r="Q55" s="3">
        <v>2000</v>
      </c>
      <c r="R55" s="3">
        <v>0</v>
      </c>
      <c r="S55" s="3">
        <v>109085</v>
      </c>
      <c r="T55" s="2" t="s">
        <v>43</v>
      </c>
      <c r="U55" s="2" t="s">
        <v>44</v>
      </c>
    </row>
    <row r="56" spans="1:21" x14ac:dyDescent="0.25">
      <c r="A56" s="2" t="s">
        <v>268</v>
      </c>
      <c r="B56" s="2" t="s">
        <v>269</v>
      </c>
      <c r="C56" s="2" t="s">
        <v>239</v>
      </c>
      <c r="D56" s="2" t="s">
        <v>240</v>
      </c>
      <c r="E56" s="2" t="s">
        <v>256</v>
      </c>
      <c r="F56" s="2" t="s">
        <v>125</v>
      </c>
      <c r="G56" s="2" t="s">
        <v>39</v>
      </c>
      <c r="H56" s="2" t="s">
        <v>28</v>
      </c>
      <c r="I56" s="2" t="s">
        <v>270</v>
      </c>
      <c r="J56" s="3">
        <v>344</v>
      </c>
      <c r="K56" s="3">
        <v>6.4</v>
      </c>
      <c r="L56" s="2" t="s">
        <v>128</v>
      </c>
      <c r="M56" s="3">
        <v>531</v>
      </c>
      <c r="N56" s="3">
        <v>75.7</v>
      </c>
      <c r="O56" s="3">
        <v>71915</v>
      </c>
      <c r="P56" s="3">
        <v>8000</v>
      </c>
      <c r="Q56" s="3">
        <v>1000</v>
      </c>
      <c r="R56" s="3">
        <v>0</v>
      </c>
      <c r="S56" s="3">
        <v>80915</v>
      </c>
      <c r="T56" s="2" t="s">
        <v>43</v>
      </c>
      <c r="U56" s="2" t="s">
        <v>44</v>
      </c>
    </row>
    <row r="57" spans="1:21" x14ac:dyDescent="0.25">
      <c r="A57" s="2" t="s">
        <v>271</v>
      </c>
      <c r="B57" s="2" t="s">
        <v>272</v>
      </c>
      <c r="C57" s="2" t="s">
        <v>216</v>
      </c>
      <c r="D57" s="2" t="s">
        <v>217</v>
      </c>
      <c r="E57" s="2" t="s">
        <v>186</v>
      </c>
      <c r="F57" s="2" t="s">
        <v>38</v>
      </c>
      <c r="G57" s="2" t="s">
        <v>39</v>
      </c>
      <c r="H57" s="2" t="s">
        <v>131</v>
      </c>
      <c r="I57" s="2" t="s">
        <v>273</v>
      </c>
      <c r="J57" s="3">
        <v>355</v>
      </c>
      <c r="K57" s="3">
        <v>6.7</v>
      </c>
      <c r="L57" s="2" t="s">
        <v>30</v>
      </c>
      <c r="M57" s="3">
        <v>168</v>
      </c>
      <c r="N57" s="3">
        <v>55.4</v>
      </c>
      <c r="O57" s="3">
        <v>52630</v>
      </c>
      <c r="P57" s="3">
        <v>10000</v>
      </c>
      <c r="Q57" s="3">
        <v>2000</v>
      </c>
      <c r="R57" s="3">
        <v>0</v>
      </c>
      <c r="S57" s="3">
        <v>64630</v>
      </c>
      <c r="T57" s="2" t="s">
        <v>236</v>
      </c>
      <c r="U57" s="2" t="s">
        <v>32</v>
      </c>
    </row>
    <row r="58" spans="1:21" x14ac:dyDescent="0.25">
      <c r="A58" s="2" t="s">
        <v>274</v>
      </c>
      <c r="B58" s="2" t="s">
        <v>275</v>
      </c>
      <c r="C58" s="2" t="s">
        <v>65</v>
      </c>
      <c r="D58" s="2" t="s">
        <v>66</v>
      </c>
      <c r="E58" s="2" t="s">
        <v>37</v>
      </c>
      <c r="F58" s="2" t="s">
        <v>50</v>
      </c>
      <c r="G58" s="2" t="s">
        <v>105</v>
      </c>
      <c r="H58" s="2" t="s">
        <v>167</v>
      </c>
      <c r="I58" s="2" t="s">
        <v>205</v>
      </c>
      <c r="J58" s="3">
        <v>430</v>
      </c>
      <c r="K58" s="3">
        <v>8.5</v>
      </c>
      <c r="L58" s="2" t="s">
        <v>108</v>
      </c>
      <c r="M58" s="3">
        <v>323</v>
      </c>
      <c r="N58" s="3">
        <v>83.5</v>
      </c>
      <c r="O58" s="3">
        <v>79325</v>
      </c>
      <c r="P58" s="3">
        <v>8000</v>
      </c>
      <c r="Q58" s="3">
        <v>1500</v>
      </c>
      <c r="R58" s="3">
        <v>25000</v>
      </c>
      <c r="S58" s="3">
        <v>113825</v>
      </c>
      <c r="T58" s="2" t="s">
        <v>87</v>
      </c>
      <c r="U58" s="2" t="s">
        <v>88</v>
      </c>
    </row>
    <row r="59" spans="1:21" x14ac:dyDescent="0.25">
      <c r="A59" s="2" t="s">
        <v>276</v>
      </c>
      <c r="B59" s="2" t="s">
        <v>180</v>
      </c>
      <c r="C59" s="2" t="s">
        <v>142</v>
      </c>
      <c r="D59" s="2" t="s">
        <v>143</v>
      </c>
      <c r="E59" s="2" t="s">
        <v>76</v>
      </c>
      <c r="F59" s="2" t="s">
        <v>172</v>
      </c>
      <c r="G59" s="2" t="s">
        <v>50</v>
      </c>
      <c r="H59" s="2" t="s">
        <v>151</v>
      </c>
      <c r="I59" s="2" t="s">
        <v>277</v>
      </c>
      <c r="J59" s="3">
        <v>786</v>
      </c>
      <c r="K59" s="3">
        <v>14.6</v>
      </c>
      <c r="L59" s="2" t="s">
        <v>128</v>
      </c>
      <c r="M59" s="3">
        <v>280</v>
      </c>
      <c r="N59" s="3">
        <v>121.4</v>
      </c>
      <c r="O59" s="3">
        <v>115330</v>
      </c>
      <c r="P59" s="3">
        <v>5000</v>
      </c>
      <c r="Q59" s="3">
        <v>1500</v>
      </c>
      <c r="R59" s="3">
        <v>0</v>
      </c>
      <c r="S59" s="3">
        <v>121830</v>
      </c>
      <c r="T59" s="2" t="s">
        <v>236</v>
      </c>
      <c r="U59" s="2" t="s">
        <v>32</v>
      </c>
    </row>
    <row r="60" spans="1:21" x14ac:dyDescent="0.25">
      <c r="A60" s="2" t="s">
        <v>278</v>
      </c>
      <c r="B60" s="2" t="s">
        <v>279</v>
      </c>
      <c r="C60" s="2" t="s">
        <v>239</v>
      </c>
      <c r="D60" s="2" t="s">
        <v>240</v>
      </c>
      <c r="E60" s="2" t="s">
        <v>171</v>
      </c>
      <c r="F60" s="2" t="s">
        <v>38</v>
      </c>
      <c r="G60" s="2" t="s">
        <v>27</v>
      </c>
      <c r="H60" s="2" t="s">
        <v>106</v>
      </c>
      <c r="I60" s="2" t="s">
        <v>280</v>
      </c>
      <c r="J60" s="3">
        <v>581</v>
      </c>
      <c r="K60" s="3">
        <v>10.9</v>
      </c>
      <c r="L60" s="2" t="s">
        <v>108</v>
      </c>
      <c r="M60" s="3">
        <v>517</v>
      </c>
      <c r="N60" s="3">
        <v>112.7</v>
      </c>
      <c r="O60" s="3">
        <v>107065</v>
      </c>
      <c r="P60" s="3">
        <v>10000</v>
      </c>
      <c r="Q60" s="3">
        <v>500</v>
      </c>
      <c r="R60" s="3">
        <v>40000</v>
      </c>
      <c r="S60" s="3">
        <v>157565</v>
      </c>
      <c r="T60" s="2" t="s">
        <v>236</v>
      </c>
      <c r="U60" s="2" t="s">
        <v>32</v>
      </c>
    </row>
    <row r="61" spans="1:21" x14ac:dyDescent="0.25">
      <c r="A61" s="2" t="s">
        <v>281</v>
      </c>
      <c r="B61" s="2" t="s">
        <v>282</v>
      </c>
      <c r="C61" s="2" t="s">
        <v>123</v>
      </c>
      <c r="D61" s="2" t="s">
        <v>124</v>
      </c>
      <c r="E61" s="2" t="s">
        <v>83</v>
      </c>
      <c r="F61" s="2" t="s">
        <v>27</v>
      </c>
      <c r="G61" s="2" t="s">
        <v>172</v>
      </c>
      <c r="H61" s="2" t="s">
        <v>98</v>
      </c>
      <c r="I61" s="2" t="s">
        <v>283</v>
      </c>
      <c r="J61" s="3">
        <v>484</v>
      </c>
      <c r="K61" s="3">
        <v>7.9</v>
      </c>
      <c r="L61" s="2" t="s">
        <v>94</v>
      </c>
      <c r="M61" s="3">
        <v>551</v>
      </c>
      <c r="N61" s="3">
        <v>79.400000000000006</v>
      </c>
      <c r="O61" s="3">
        <v>75430</v>
      </c>
      <c r="P61" s="3">
        <v>10000</v>
      </c>
      <c r="Q61" s="3">
        <v>2000</v>
      </c>
      <c r="R61" s="3">
        <v>25000</v>
      </c>
      <c r="S61" s="3">
        <v>112430</v>
      </c>
      <c r="T61" s="2" t="s">
        <v>87</v>
      </c>
      <c r="U61" s="2" t="s">
        <v>88</v>
      </c>
    </row>
    <row r="62" spans="1:21" x14ac:dyDescent="0.25">
      <c r="A62" s="2" t="s">
        <v>284</v>
      </c>
      <c r="B62" s="2" t="s">
        <v>170</v>
      </c>
      <c r="C62" s="2" t="s">
        <v>57</v>
      </c>
      <c r="D62" s="2" t="s">
        <v>58</v>
      </c>
      <c r="E62" s="2" t="s">
        <v>176</v>
      </c>
      <c r="F62" s="2" t="s">
        <v>105</v>
      </c>
      <c r="G62" s="2" t="s">
        <v>77</v>
      </c>
      <c r="H62" s="2" t="s">
        <v>69</v>
      </c>
      <c r="I62" s="2" t="s">
        <v>285</v>
      </c>
      <c r="J62" s="3">
        <v>526</v>
      </c>
      <c r="K62" s="3">
        <v>8.1</v>
      </c>
      <c r="L62" s="2" t="s">
        <v>120</v>
      </c>
      <c r="M62" s="3">
        <v>289</v>
      </c>
      <c r="N62" s="3">
        <v>86.7</v>
      </c>
      <c r="O62" s="3">
        <v>82365</v>
      </c>
      <c r="P62" s="3">
        <v>10000</v>
      </c>
      <c r="Q62" s="3">
        <v>0</v>
      </c>
      <c r="R62" s="3">
        <v>10000</v>
      </c>
      <c r="S62" s="3">
        <v>102365</v>
      </c>
      <c r="T62" s="2" t="s">
        <v>236</v>
      </c>
      <c r="U62" s="2" t="s">
        <v>32</v>
      </c>
    </row>
    <row r="63" spans="1:21" x14ac:dyDescent="0.25">
      <c r="A63" s="2" t="s">
        <v>286</v>
      </c>
      <c r="B63" s="2" t="s">
        <v>287</v>
      </c>
      <c r="C63" s="2" t="s">
        <v>74</v>
      </c>
      <c r="D63" s="2" t="s">
        <v>75</v>
      </c>
      <c r="E63" s="2" t="s">
        <v>171</v>
      </c>
      <c r="F63" s="2" t="s">
        <v>172</v>
      </c>
      <c r="G63" s="2" t="s">
        <v>77</v>
      </c>
      <c r="H63" s="2" t="s">
        <v>28</v>
      </c>
      <c r="I63" s="2" t="s">
        <v>288</v>
      </c>
      <c r="J63" s="3">
        <v>455</v>
      </c>
      <c r="K63" s="3">
        <v>6.8</v>
      </c>
      <c r="L63" s="2" t="s">
        <v>42</v>
      </c>
      <c r="M63" s="3">
        <v>389</v>
      </c>
      <c r="N63" s="3">
        <v>74.5</v>
      </c>
      <c r="O63" s="3">
        <v>70775</v>
      </c>
      <c r="P63" s="3">
        <v>10000</v>
      </c>
      <c r="Q63" s="3">
        <v>0</v>
      </c>
      <c r="R63" s="3">
        <v>40000</v>
      </c>
      <c r="S63" s="3">
        <v>120775</v>
      </c>
      <c r="T63" s="2" t="s">
        <v>87</v>
      </c>
      <c r="U63" s="2" t="s">
        <v>88</v>
      </c>
    </row>
    <row r="64" spans="1:21" x14ac:dyDescent="0.25">
      <c r="A64" s="2" t="s">
        <v>289</v>
      </c>
      <c r="B64" s="2" t="s">
        <v>290</v>
      </c>
      <c r="C64" s="2" t="s">
        <v>74</v>
      </c>
      <c r="D64" s="2" t="s">
        <v>75</v>
      </c>
      <c r="E64" s="2" t="s">
        <v>91</v>
      </c>
      <c r="F64" s="2" t="s">
        <v>77</v>
      </c>
      <c r="G64" s="2" t="s">
        <v>51</v>
      </c>
      <c r="H64" s="2" t="s">
        <v>260</v>
      </c>
      <c r="I64" s="2" t="s">
        <v>291</v>
      </c>
      <c r="J64" s="3">
        <v>730</v>
      </c>
      <c r="K64" s="3">
        <v>14.9</v>
      </c>
      <c r="L64" s="2" t="s">
        <v>30</v>
      </c>
      <c r="M64" s="3">
        <v>457</v>
      </c>
      <c r="N64" s="3">
        <v>134</v>
      </c>
      <c r="O64" s="3">
        <v>127300</v>
      </c>
      <c r="P64" s="3">
        <v>8000</v>
      </c>
      <c r="Q64" s="3">
        <v>2500</v>
      </c>
      <c r="R64" s="3">
        <v>40000</v>
      </c>
      <c r="S64" s="3">
        <v>177800</v>
      </c>
      <c r="T64" s="2" t="s">
        <v>87</v>
      </c>
      <c r="U64" s="2" t="s">
        <v>88</v>
      </c>
    </row>
    <row r="65" spans="1:21" x14ac:dyDescent="0.25">
      <c r="A65" s="2" t="s">
        <v>292</v>
      </c>
      <c r="B65" s="2" t="s">
        <v>293</v>
      </c>
      <c r="C65" s="2" t="s">
        <v>142</v>
      </c>
      <c r="D65" s="2" t="s">
        <v>143</v>
      </c>
      <c r="E65" s="2" t="s">
        <v>59</v>
      </c>
      <c r="F65" s="2" t="s">
        <v>84</v>
      </c>
      <c r="G65" s="2" t="s">
        <v>172</v>
      </c>
      <c r="H65" s="2" t="s">
        <v>163</v>
      </c>
      <c r="I65" s="2" t="s">
        <v>294</v>
      </c>
      <c r="J65" s="3">
        <v>559</v>
      </c>
      <c r="K65" s="3">
        <v>9.6999999999999993</v>
      </c>
      <c r="L65" s="2" t="s">
        <v>94</v>
      </c>
      <c r="M65" s="3">
        <v>282</v>
      </c>
      <c r="N65" s="3">
        <v>97.4</v>
      </c>
      <c r="O65" s="3">
        <v>92530</v>
      </c>
      <c r="P65" s="3">
        <v>10000</v>
      </c>
      <c r="Q65" s="3">
        <v>0</v>
      </c>
      <c r="R65" s="3">
        <v>0</v>
      </c>
      <c r="S65" s="3">
        <v>102530</v>
      </c>
      <c r="T65" s="2" t="s">
        <v>87</v>
      </c>
      <c r="U65" s="2" t="s">
        <v>88</v>
      </c>
    </row>
    <row r="66" spans="1:21" x14ac:dyDescent="0.25">
      <c r="A66" s="2" t="s">
        <v>295</v>
      </c>
      <c r="B66" s="2" t="s">
        <v>296</v>
      </c>
      <c r="C66" s="2" t="s">
        <v>74</v>
      </c>
      <c r="D66" s="2" t="s">
        <v>75</v>
      </c>
      <c r="E66" s="2" t="s">
        <v>67</v>
      </c>
      <c r="F66" s="2" t="s">
        <v>84</v>
      </c>
      <c r="G66" s="2" t="s">
        <v>92</v>
      </c>
      <c r="H66" s="2" t="s">
        <v>181</v>
      </c>
      <c r="I66" s="2" t="s">
        <v>152</v>
      </c>
      <c r="J66" s="3">
        <v>107</v>
      </c>
      <c r="K66" s="3">
        <v>2.4</v>
      </c>
      <c r="L66" s="2" t="s">
        <v>54</v>
      </c>
      <c r="M66" s="3">
        <v>300</v>
      </c>
      <c r="N66" s="3">
        <v>21</v>
      </c>
      <c r="O66" s="3">
        <v>19950</v>
      </c>
      <c r="P66" s="3">
        <v>12000</v>
      </c>
      <c r="Q66" s="3">
        <v>2500</v>
      </c>
      <c r="R66" s="3">
        <v>0</v>
      </c>
      <c r="S66" s="3">
        <v>34450</v>
      </c>
      <c r="T66" s="2" t="s">
        <v>87</v>
      </c>
      <c r="U66" s="2" t="s">
        <v>88</v>
      </c>
    </row>
    <row r="67" spans="1:21" x14ac:dyDescent="0.25">
      <c r="A67" s="2" t="s">
        <v>297</v>
      </c>
      <c r="B67" s="2" t="s">
        <v>269</v>
      </c>
      <c r="C67" s="2" t="s">
        <v>47</v>
      </c>
      <c r="D67" s="2" t="s">
        <v>48</v>
      </c>
      <c r="E67" s="2" t="s">
        <v>76</v>
      </c>
      <c r="F67" s="2" t="s">
        <v>51</v>
      </c>
      <c r="G67" s="2" t="s">
        <v>77</v>
      </c>
      <c r="H67" s="2" t="s">
        <v>28</v>
      </c>
      <c r="I67" s="2" t="s">
        <v>298</v>
      </c>
      <c r="J67" s="3">
        <v>694</v>
      </c>
      <c r="K67" s="3">
        <v>10.8</v>
      </c>
      <c r="L67" s="2" t="s">
        <v>71</v>
      </c>
      <c r="M67" s="3">
        <v>310</v>
      </c>
      <c r="N67" s="3">
        <v>142.30000000000001</v>
      </c>
      <c r="O67" s="3">
        <v>135185</v>
      </c>
      <c r="P67" s="3">
        <v>5000</v>
      </c>
      <c r="Q67" s="3">
        <v>1500</v>
      </c>
      <c r="R67" s="3">
        <v>5000</v>
      </c>
      <c r="S67" s="3">
        <v>146685</v>
      </c>
      <c r="T67" s="2" t="s">
        <v>236</v>
      </c>
      <c r="U67" s="2" t="s">
        <v>32</v>
      </c>
    </row>
    <row r="68" spans="1:21" x14ac:dyDescent="0.25">
      <c r="A68" s="2" t="s">
        <v>299</v>
      </c>
      <c r="B68" s="2" t="s">
        <v>300</v>
      </c>
      <c r="C68" s="2" t="s">
        <v>47</v>
      </c>
      <c r="D68" s="2" t="s">
        <v>48</v>
      </c>
      <c r="E68" s="2" t="s">
        <v>25</v>
      </c>
      <c r="F68" s="2" t="s">
        <v>112</v>
      </c>
      <c r="G68" s="2" t="s">
        <v>26</v>
      </c>
      <c r="H68" s="2" t="s">
        <v>52</v>
      </c>
      <c r="I68" s="2" t="s">
        <v>283</v>
      </c>
      <c r="J68" s="3">
        <v>366</v>
      </c>
      <c r="K68" s="3">
        <v>6.9</v>
      </c>
      <c r="L68" s="2" t="s">
        <v>120</v>
      </c>
      <c r="M68" s="3">
        <v>544</v>
      </c>
      <c r="N68" s="3">
        <v>95.8</v>
      </c>
      <c r="O68" s="3">
        <v>91010</v>
      </c>
      <c r="P68" s="3">
        <v>10000</v>
      </c>
      <c r="Q68" s="3">
        <v>2000</v>
      </c>
      <c r="R68" s="3">
        <v>10000</v>
      </c>
      <c r="S68" s="3">
        <v>113010</v>
      </c>
      <c r="T68" s="2" t="s">
        <v>31</v>
      </c>
      <c r="U68" s="2" t="s">
        <v>32</v>
      </c>
    </row>
    <row r="69" spans="1:21" x14ac:dyDescent="0.25">
      <c r="A69" s="2" t="s">
        <v>301</v>
      </c>
      <c r="B69" s="2" t="s">
        <v>302</v>
      </c>
      <c r="C69" s="2" t="s">
        <v>74</v>
      </c>
      <c r="D69" s="2" t="s">
        <v>75</v>
      </c>
      <c r="E69" s="2" t="s">
        <v>67</v>
      </c>
      <c r="F69" s="2" t="s">
        <v>92</v>
      </c>
      <c r="G69" s="2" t="s">
        <v>51</v>
      </c>
      <c r="H69" s="2" t="s">
        <v>52</v>
      </c>
      <c r="I69" s="2" t="s">
        <v>303</v>
      </c>
      <c r="J69" s="3">
        <v>734</v>
      </c>
      <c r="K69" s="3">
        <v>17.5</v>
      </c>
      <c r="L69" s="2" t="s">
        <v>86</v>
      </c>
      <c r="M69" s="3">
        <v>558</v>
      </c>
      <c r="N69" s="3">
        <v>122.4</v>
      </c>
      <c r="O69" s="3">
        <v>116280</v>
      </c>
      <c r="P69" s="3">
        <v>8000</v>
      </c>
      <c r="Q69" s="3">
        <v>500</v>
      </c>
      <c r="R69" s="3">
        <v>10000</v>
      </c>
      <c r="S69" s="3">
        <v>134780</v>
      </c>
      <c r="T69" s="2" t="s">
        <v>87</v>
      </c>
      <c r="U69" s="2" t="s">
        <v>88</v>
      </c>
    </row>
    <row r="70" spans="1:21" x14ac:dyDescent="0.25">
      <c r="A70" s="2" t="s">
        <v>304</v>
      </c>
      <c r="B70" s="2" t="s">
        <v>137</v>
      </c>
      <c r="C70" s="2" t="s">
        <v>81</v>
      </c>
      <c r="D70" s="2" t="s">
        <v>82</v>
      </c>
      <c r="E70" s="2" t="s">
        <v>67</v>
      </c>
      <c r="F70" s="2" t="s">
        <v>125</v>
      </c>
      <c r="G70" s="2" t="s">
        <v>172</v>
      </c>
      <c r="H70" s="2" t="s">
        <v>260</v>
      </c>
      <c r="I70" s="2" t="s">
        <v>305</v>
      </c>
      <c r="J70" s="3">
        <v>798</v>
      </c>
      <c r="K70" s="3">
        <v>13.4</v>
      </c>
      <c r="L70" s="2" t="s">
        <v>94</v>
      </c>
      <c r="M70" s="3">
        <v>501</v>
      </c>
      <c r="N70" s="3">
        <v>221.7</v>
      </c>
      <c r="O70" s="3">
        <v>210615</v>
      </c>
      <c r="P70" s="3">
        <v>8000</v>
      </c>
      <c r="Q70" s="3">
        <v>2500</v>
      </c>
      <c r="R70" s="3">
        <v>0</v>
      </c>
      <c r="S70" s="3">
        <v>221115</v>
      </c>
      <c r="T70" s="2" t="s">
        <v>87</v>
      </c>
      <c r="U70" s="2" t="s">
        <v>88</v>
      </c>
    </row>
    <row r="71" spans="1:21" x14ac:dyDescent="0.25">
      <c r="A71" s="2" t="s">
        <v>306</v>
      </c>
      <c r="B71" s="2" t="s">
        <v>302</v>
      </c>
      <c r="C71" s="2" t="s">
        <v>216</v>
      </c>
      <c r="D71" s="2" t="s">
        <v>217</v>
      </c>
      <c r="E71" s="2" t="s">
        <v>59</v>
      </c>
      <c r="F71" s="2" t="s">
        <v>77</v>
      </c>
      <c r="G71" s="2" t="s">
        <v>60</v>
      </c>
      <c r="H71" s="2" t="s">
        <v>151</v>
      </c>
      <c r="I71" s="2" t="s">
        <v>307</v>
      </c>
      <c r="J71" s="3">
        <v>265</v>
      </c>
      <c r="K71" s="3">
        <v>6.1</v>
      </c>
      <c r="L71" s="2" t="s">
        <v>54</v>
      </c>
      <c r="M71" s="3">
        <v>313</v>
      </c>
      <c r="N71" s="3">
        <v>42.5</v>
      </c>
      <c r="O71" s="3">
        <v>40375</v>
      </c>
      <c r="P71" s="3">
        <v>10000</v>
      </c>
      <c r="Q71" s="3">
        <v>1000</v>
      </c>
      <c r="R71" s="3">
        <v>10000</v>
      </c>
      <c r="S71" s="3">
        <v>61375</v>
      </c>
      <c r="T71" s="2" t="s">
        <v>43</v>
      </c>
      <c r="U71" s="2" t="s">
        <v>44</v>
      </c>
    </row>
    <row r="72" spans="1:21" x14ac:dyDescent="0.25">
      <c r="A72" s="2" t="s">
        <v>308</v>
      </c>
      <c r="B72" s="2" t="s">
        <v>223</v>
      </c>
      <c r="C72" s="2" t="s">
        <v>239</v>
      </c>
      <c r="D72" s="2" t="s">
        <v>240</v>
      </c>
      <c r="E72" s="2" t="s">
        <v>83</v>
      </c>
      <c r="F72" s="2" t="s">
        <v>60</v>
      </c>
      <c r="G72" s="2" t="s">
        <v>172</v>
      </c>
      <c r="H72" s="2" t="s">
        <v>52</v>
      </c>
      <c r="I72" s="2" t="s">
        <v>309</v>
      </c>
      <c r="J72" s="3">
        <v>345</v>
      </c>
      <c r="K72" s="3">
        <v>7.7</v>
      </c>
      <c r="L72" s="2" t="s">
        <v>94</v>
      </c>
      <c r="M72" s="3">
        <v>599</v>
      </c>
      <c r="N72" s="3">
        <v>89.1</v>
      </c>
      <c r="O72" s="3">
        <v>84645</v>
      </c>
      <c r="P72" s="3">
        <v>8000</v>
      </c>
      <c r="Q72" s="3">
        <v>2500</v>
      </c>
      <c r="R72" s="3">
        <v>5000</v>
      </c>
      <c r="S72" s="3">
        <v>100145</v>
      </c>
      <c r="T72" s="2" t="s">
        <v>31</v>
      </c>
      <c r="U72" s="2" t="s">
        <v>32</v>
      </c>
    </row>
    <row r="73" spans="1:21" x14ac:dyDescent="0.25">
      <c r="A73" s="2" t="s">
        <v>310</v>
      </c>
      <c r="B73" s="2" t="s">
        <v>311</v>
      </c>
      <c r="C73" s="2" t="s">
        <v>123</v>
      </c>
      <c r="D73" s="2" t="s">
        <v>124</v>
      </c>
      <c r="E73" s="2" t="s">
        <v>104</v>
      </c>
      <c r="F73" s="2" t="s">
        <v>112</v>
      </c>
      <c r="G73" s="2" t="s">
        <v>68</v>
      </c>
      <c r="H73" s="2" t="s">
        <v>28</v>
      </c>
      <c r="I73" s="2" t="s">
        <v>312</v>
      </c>
      <c r="J73" s="3">
        <v>751</v>
      </c>
      <c r="K73" s="3">
        <v>17.8</v>
      </c>
      <c r="L73" s="2" t="s">
        <v>62</v>
      </c>
      <c r="M73" s="3">
        <v>385</v>
      </c>
      <c r="N73" s="3">
        <v>120.2</v>
      </c>
      <c r="O73" s="3">
        <v>114190</v>
      </c>
      <c r="P73" s="3">
        <v>7000</v>
      </c>
      <c r="Q73" s="3">
        <v>2500</v>
      </c>
      <c r="R73" s="3">
        <v>0</v>
      </c>
      <c r="S73" s="3">
        <v>123690</v>
      </c>
      <c r="T73" s="2" t="s">
        <v>236</v>
      </c>
      <c r="U73" s="2" t="s">
        <v>32</v>
      </c>
    </row>
    <row r="74" spans="1:21" x14ac:dyDescent="0.25">
      <c r="A74" s="2" t="s">
        <v>313</v>
      </c>
      <c r="B74" s="2" t="s">
        <v>314</v>
      </c>
      <c r="C74" s="2" t="s">
        <v>155</v>
      </c>
      <c r="D74" s="2" t="s">
        <v>156</v>
      </c>
      <c r="E74" s="2" t="s">
        <v>59</v>
      </c>
      <c r="F74" s="2" t="s">
        <v>27</v>
      </c>
      <c r="G74" s="2" t="s">
        <v>125</v>
      </c>
      <c r="H74" s="2" t="s">
        <v>177</v>
      </c>
      <c r="I74" s="2" t="s">
        <v>69</v>
      </c>
      <c r="J74" s="3">
        <v>60</v>
      </c>
      <c r="K74" s="3">
        <v>2</v>
      </c>
      <c r="L74" s="2" t="s">
        <v>128</v>
      </c>
      <c r="M74" s="3">
        <v>149</v>
      </c>
      <c r="N74" s="3">
        <v>14.3</v>
      </c>
      <c r="O74" s="3">
        <v>13585</v>
      </c>
      <c r="P74" s="3">
        <v>12000</v>
      </c>
      <c r="Q74" s="3">
        <v>500</v>
      </c>
      <c r="R74" s="3">
        <v>15000</v>
      </c>
      <c r="S74" s="3">
        <v>41085</v>
      </c>
      <c r="T74" s="2" t="s">
        <v>87</v>
      </c>
      <c r="U74" s="2" t="s">
        <v>88</v>
      </c>
    </row>
    <row r="75" spans="1:21" x14ac:dyDescent="0.25">
      <c r="A75" s="2" t="s">
        <v>315</v>
      </c>
      <c r="B75" s="2" t="s">
        <v>316</v>
      </c>
      <c r="C75" s="2" t="s">
        <v>142</v>
      </c>
      <c r="D75" s="2" t="s">
        <v>143</v>
      </c>
      <c r="E75" s="2" t="s">
        <v>59</v>
      </c>
      <c r="F75" s="2" t="s">
        <v>38</v>
      </c>
      <c r="G75" s="2" t="s">
        <v>105</v>
      </c>
      <c r="H75" s="2" t="s">
        <v>113</v>
      </c>
      <c r="I75" s="2" t="s">
        <v>317</v>
      </c>
      <c r="J75" s="3">
        <v>489</v>
      </c>
      <c r="K75" s="3">
        <v>8.6</v>
      </c>
      <c r="L75" s="2" t="s">
        <v>71</v>
      </c>
      <c r="M75" s="3">
        <v>467</v>
      </c>
      <c r="N75" s="3">
        <v>77.400000000000006</v>
      </c>
      <c r="O75" s="3">
        <v>73530</v>
      </c>
      <c r="P75" s="3">
        <v>8000</v>
      </c>
      <c r="Q75" s="3">
        <v>0</v>
      </c>
      <c r="R75" s="3">
        <v>10000</v>
      </c>
      <c r="S75" s="3">
        <v>91530</v>
      </c>
      <c r="T75" s="2" t="s">
        <v>87</v>
      </c>
      <c r="U75" s="2" t="s">
        <v>88</v>
      </c>
    </row>
    <row r="76" spans="1:21" x14ac:dyDescent="0.25">
      <c r="A76" s="2" t="s">
        <v>318</v>
      </c>
      <c r="B76" s="2" t="s">
        <v>319</v>
      </c>
      <c r="C76" s="2" t="s">
        <v>239</v>
      </c>
      <c r="D76" s="2" t="s">
        <v>240</v>
      </c>
      <c r="E76" s="2" t="s">
        <v>111</v>
      </c>
      <c r="F76" s="2" t="s">
        <v>51</v>
      </c>
      <c r="G76" s="2" t="s">
        <v>112</v>
      </c>
      <c r="H76" s="2" t="s">
        <v>98</v>
      </c>
      <c r="I76" s="2" t="s">
        <v>99</v>
      </c>
      <c r="J76" s="3">
        <v>161</v>
      </c>
      <c r="K76" s="3">
        <v>3.5</v>
      </c>
      <c r="L76" s="2" t="s">
        <v>128</v>
      </c>
      <c r="M76" s="3">
        <v>515</v>
      </c>
      <c r="N76" s="3">
        <v>42.6</v>
      </c>
      <c r="O76" s="3">
        <v>40470</v>
      </c>
      <c r="P76" s="3">
        <v>7000</v>
      </c>
      <c r="Q76" s="3">
        <v>2500</v>
      </c>
      <c r="R76" s="3">
        <v>0</v>
      </c>
      <c r="S76" s="3">
        <v>49970</v>
      </c>
      <c r="T76" s="2" t="s">
        <v>87</v>
      </c>
      <c r="U76" s="2" t="s">
        <v>88</v>
      </c>
    </row>
    <row r="77" spans="1:21" x14ac:dyDescent="0.25">
      <c r="A77" s="2" t="s">
        <v>320</v>
      </c>
      <c r="B77" s="2" t="s">
        <v>170</v>
      </c>
      <c r="C77" s="2" t="s">
        <v>23</v>
      </c>
      <c r="D77" s="2" t="s">
        <v>24</v>
      </c>
      <c r="E77" s="2" t="s">
        <v>91</v>
      </c>
      <c r="F77" s="2" t="s">
        <v>172</v>
      </c>
      <c r="G77" s="2" t="s">
        <v>26</v>
      </c>
      <c r="H77" s="2" t="s">
        <v>177</v>
      </c>
      <c r="I77" s="2" t="s">
        <v>241</v>
      </c>
      <c r="J77" s="3">
        <v>270</v>
      </c>
      <c r="K77" s="3">
        <v>5.9</v>
      </c>
      <c r="L77" s="2" t="s">
        <v>108</v>
      </c>
      <c r="M77" s="3">
        <v>386</v>
      </c>
      <c r="N77" s="3">
        <v>46.4</v>
      </c>
      <c r="O77" s="3">
        <v>44080</v>
      </c>
      <c r="P77" s="3">
        <v>12000</v>
      </c>
      <c r="Q77" s="3">
        <v>0</v>
      </c>
      <c r="R77" s="3">
        <v>5000</v>
      </c>
      <c r="S77" s="3">
        <v>61080</v>
      </c>
      <c r="T77" s="2" t="s">
        <v>43</v>
      </c>
      <c r="U77" s="2" t="s">
        <v>44</v>
      </c>
    </row>
    <row r="78" spans="1:21" x14ac:dyDescent="0.25">
      <c r="A78" s="2" t="s">
        <v>321</v>
      </c>
      <c r="B78" s="2" t="s">
        <v>322</v>
      </c>
      <c r="C78" s="2" t="s">
        <v>102</v>
      </c>
      <c r="D78" s="2" t="s">
        <v>103</v>
      </c>
      <c r="E78" s="2" t="s">
        <v>256</v>
      </c>
      <c r="F78" s="2" t="s">
        <v>27</v>
      </c>
      <c r="G78" s="2" t="s">
        <v>172</v>
      </c>
      <c r="H78" s="2" t="s">
        <v>126</v>
      </c>
      <c r="I78" s="2" t="s">
        <v>213</v>
      </c>
      <c r="J78" s="3">
        <v>238</v>
      </c>
      <c r="K78" s="3">
        <v>5.2</v>
      </c>
      <c r="L78" s="2" t="s">
        <v>108</v>
      </c>
      <c r="M78" s="3">
        <v>381</v>
      </c>
      <c r="N78" s="3">
        <v>67.099999999999994</v>
      </c>
      <c r="O78" s="3">
        <v>63745</v>
      </c>
      <c r="P78" s="3">
        <v>8000</v>
      </c>
      <c r="Q78" s="3">
        <v>0</v>
      </c>
      <c r="R78" s="3">
        <v>0</v>
      </c>
      <c r="S78" s="3">
        <v>71745</v>
      </c>
      <c r="T78" s="2" t="s">
        <v>236</v>
      </c>
      <c r="U78" s="2" t="s">
        <v>32</v>
      </c>
    </row>
    <row r="79" spans="1:21" x14ac:dyDescent="0.25">
      <c r="A79" s="2" t="s">
        <v>323</v>
      </c>
      <c r="B79" s="2" t="s">
        <v>324</v>
      </c>
      <c r="C79" s="2" t="s">
        <v>57</v>
      </c>
      <c r="D79" s="2" t="s">
        <v>58</v>
      </c>
      <c r="E79" s="2" t="s">
        <v>83</v>
      </c>
      <c r="F79" s="2" t="s">
        <v>38</v>
      </c>
      <c r="G79" s="2" t="s">
        <v>68</v>
      </c>
      <c r="H79" s="2" t="s">
        <v>52</v>
      </c>
      <c r="I79" s="2" t="s">
        <v>325</v>
      </c>
      <c r="J79" s="3">
        <v>547</v>
      </c>
      <c r="K79" s="3">
        <v>9.6</v>
      </c>
      <c r="L79" s="2" t="s">
        <v>62</v>
      </c>
      <c r="M79" s="3">
        <v>276</v>
      </c>
      <c r="N79" s="3">
        <v>86.3</v>
      </c>
      <c r="O79" s="3">
        <v>81985</v>
      </c>
      <c r="P79" s="3">
        <v>5000</v>
      </c>
      <c r="Q79" s="3">
        <v>2500</v>
      </c>
      <c r="R79" s="3">
        <v>40000</v>
      </c>
      <c r="S79" s="3">
        <v>129485</v>
      </c>
      <c r="T79" s="2" t="s">
        <v>87</v>
      </c>
      <c r="U79" s="2" t="s">
        <v>88</v>
      </c>
    </row>
    <row r="80" spans="1:21" x14ac:dyDescent="0.25">
      <c r="A80" s="2" t="s">
        <v>326</v>
      </c>
      <c r="B80" s="2" t="s">
        <v>327</v>
      </c>
      <c r="C80" s="2" t="s">
        <v>142</v>
      </c>
      <c r="D80" s="2" t="s">
        <v>143</v>
      </c>
      <c r="E80" s="2" t="s">
        <v>37</v>
      </c>
      <c r="F80" s="2" t="s">
        <v>92</v>
      </c>
      <c r="G80" s="2" t="s">
        <v>39</v>
      </c>
      <c r="H80" s="2" t="s">
        <v>131</v>
      </c>
      <c r="I80" s="2" t="s">
        <v>328</v>
      </c>
      <c r="J80" s="3">
        <v>471</v>
      </c>
      <c r="K80" s="3">
        <v>9.9</v>
      </c>
      <c r="L80" s="2" t="s">
        <v>128</v>
      </c>
      <c r="M80" s="3">
        <v>132</v>
      </c>
      <c r="N80" s="3">
        <v>105.5</v>
      </c>
      <c r="O80" s="3">
        <v>100225</v>
      </c>
      <c r="P80" s="3">
        <v>7000</v>
      </c>
      <c r="Q80" s="3">
        <v>0</v>
      </c>
      <c r="R80" s="3">
        <v>0</v>
      </c>
      <c r="S80" s="3">
        <v>107225</v>
      </c>
      <c r="T80" s="2" t="s">
        <v>87</v>
      </c>
      <c r="U80" s="2" t="s">
        <v>88</v>
      </c>
    </row>
    <row r="81" spans="1:21" x14ac:dyDescent="0.25">
      <c r="A81" s="2" t="s">
        <v>329</v>
      </c>
      <c r="B81" s="2" t="s">
        <v>330</v>
      </c>
      <c r="C81" s="2" t="s">
        <v>65</v>
      </c>
      <c r="D81" s="2" t="s">
        <v>66</v>
      </c>
      <c r="E81" s="2" t="s">
        <v>76</v>
      </c>
      <c r="F81" s="2" t="s">
        <v>105</v>
      </c>
      <c r="G81" s="2" t="s">
        <v>27</v>
      </c>
      <c r="H81" s="2" t="s">
        <v>167</v>
      </c>
      <c r="I81" s="2" t="s">
        <v>331</v>
      </c>
      <c r="J81" s="3">
        <v>524</v>
      </c>
      <c r="K81" s="3">
        <v>12.1</v>
      </c>
      <c r="L81" s="2" t="s">
        <v>62</v>
      </c>
      <c r="M81" s="3">
        <v>270</v>
      </c>
      <c r="N81" s="3">
        <v>109.4</v>
      </c>
      <c r="O81" s="3">
        <v>103930</v>
      </c>
      <c r="P81" s="3">
        <v>7000</v>
      </c>
      <c r="Q81" s="3">
        <v>1500</v>
      </c>
      <c r="R81" s="3">
        <v>10000</v>
      </c>
      <c r="S81" s="3">
        <v>122430</v>
      </c>
      <c r="T81" s="2" t="s">
        <v>43</v>
      </c>
      <c r="U81" s="2" t="s">
        <v>44</v>
      </c>
    </row>
    <row r="82" spans="1:21" x14ac:dyDescent="0.25">
      <c r="A82" s="2" t="s">
        <v>332</v>
      </c>
      <c r="B82" s="2" t="s">
        <v>262</v>
      </c>
      <c r="C82" s="2" t="s">
        <v>65</v>
      </c>
      <c r="D82" s="2" t="s">
        <v>66</v>
      </c>
      <c r="E82" s="2" t="s">
        <v>186</v>
      </c>
      <c r="F82" s="2" t="s">
        <v>38</v>
      </c>
      <c r="G82" s="2" t="s">
        <v>68</v>
      </c>
      <c r="H82" s="2" t="s">
        <v>52</v>
      </c>
      <c r="I82" s="2" t="s">
        <v>333</v>
      </c>
      <c r="J82" s="3">
        <v>380</v>
      </c>
      <c r="K82" s="3">
        <v>6.8</v>
      </c>
      <c r="L82" s="2" t="s">
        <v>54</v>
      </c>
      <c r="M82" s="3">
        <v>535</v>
      </c>
      <c r="N82" s="3">
        <v>102.7</v>
      </c>
      <c r="O82" s="3">
        <v>97565</v>
      </c>
      <c r="P82" s="3">
        <v>5000</v>
      </c>
      <c r="Q82" s="3">
        <v>0</v>
      </c>
      <c r="R82" s="3">
        <v>15000</v>
      </c>
      <c r="S82" s="3">
        <v>117565</v>
      </c>
      <c r="T82" s="2" t="s">
        <v>87</v>
      </c>
      <c r="U82" s="2" t="s">
        <v>88</v>
      </c>
    </row>
    <row r="83" spans="1:21" x14ac:dyDescent="0.25">
      <c r="A83" s="2" t="s">
        <v>334</v>
      </c>
      <c r="B83" s="2" t="s">
        <v>335</v>
      </c>
      <c r="C83" s="2" t="s">
        <v>35</v>
      </c>
      <c r="D83" s="2" t="s">
        <v>36</v>
      </c>
      <c r="E83" s="2" t="s">
        <v>91</v>
      </c>
      <c r="F83" s="2" t="s">
        <v>105</v>
      </c>
      <c r="G83" s="2" t="s">
        <v>92</v>
      </c>
      <c r="H83" s="2" t="s">
        <v>189</v>
      </c>
      <c r="I83" s="2" t="s">
        <v>277</v>
      </c>
      <c r="J83" s="3">
        <v>660</v>
      </c>
      <c r="K83" s="3">
        <v>11.6</v>
      </c>
      <c r="L83" s="2" t="s">
        <v>120</v>
      </c>
      <c r="M83" s="3">
        <v>102</v>
      </c>
      <c r="N83" s="3">
        <v>103</v>
      </c>
      <c r="O83" s="3">
        <v>97850</v>
      </c>
      <c r="P83" s="3">
        <v>12000</v>
      </c>
      <c r="Q83" s="3">
        <v>1000</v>
      </c>
      <c r="R83" s="3">
        <v>10000</v>
      </c>
      <c r="S83" s="3">
        <v>120850</v>
      </c>
      <c r="T83" s="2" t="s">
        <v>87</v>
      </c>
      <c r="U83" s="2" t="s">
        <v>88</v>
      </c>
    </row>
    <row r="84" spans="1:21" x14ac:dyDescent="0.25">
      <c r="A84" s="2" t="s">
        <v>336</v>
      </c>
      <c r="B84" s="2" t="s">
        <v>337</v>
      </c>
      <c r="C84" s="2" t="s">
        <v>23</v>
      </c>
      <c r="D84" s="2" t="s">
        <v>24</v>
      </c>
      <c r="E84" s="2" t="s">
        <v>91</v>
      </c>
      <c r="F84" s="2" t="s">
        <v>125</v>
      </c>
      <c r="G84" s="2" t="s">
        <v>39</v>
      </c>
      <c r="H84" s="2" t="s">
        <v>138</v>
      </c>
      <c r="I84" s="2" t="s">
        <v>338</v>
      </c>
      <c r="J84" s="3">
        <v>289</v>
      </c>
      <c r="K84" s="3">
        <v>4.9000000000000004</v>
      </c>
      <c r="L84" s="2" t="s">
        <v>94</v>
      </c>
      <c r="M84" s="3">
        <v>281</v>
      </c>
      <c r="N84" s="3">
        <v>48.8</v>
      </c>
      <c r="O84" s="3">
        <v>46360</v>
      </c>
      <c r="P84" s="3">
        <v>12000</v>
      </c>
      <c r="Q84" s="3">
        <v>2000</v>
      </c>
      <c r="R84" s="3">
        <v>40000</v>
      </c>
      <c r="S84" s="3">
        <v>100360</v>
      </c>
      <c r="T84" s="2" t="s">
        <v>87</v>
      </c>
      <c r="U84" s="2" t="s">
        <v>88</v>
      </c>
    </row>
    <row r="85" spans="1:21" x14ac:dyDescent="0.25">
      <c r="A85" s="2" t="s">
        <v>339</v>
      </c>
      <c r="B85" s="2" t="s">
        <v>340</v>
      </c>
      <c r="C85" s="2" t="s">
        <v>207</v>
      </c>
      <c r="D85" s="2" t="s">
        <v>208</v>
      </c>
      <c r="E85" s="2" t="s">
        <v>91</v>
      </c>
      <c r="F85" s="2" t="s">
        <v>27</v>
      </c>
      <c r="G85" s="2" t="s">
        <v>38</v>
      </c>
      <c r="H85" s="2" t="s">
        <v>98</v>
      </c>
      <c r="I85" s="2" t="s">
        <v>341</v>
      </c>
      <c r="J85" s="3">
        <v>376</v>
      </c>
      <c r="K85" s="3">
        <v>9.6</v>
      </c>
      <c r="L85" s="2" t="s">
        <v>42</v>
      </c>
      <c r="M85" s="3">
        <v>460</v>
      </c>
      <c r="N85" s="3">
        <v>101.4</v>
      </c>
      <c r="O85" s="3">
        <v>96330</v>
      </c>
      <c r="P85" s="3">
        <v>5000</v>
      </c>
      <c r="Q85" s="3">
        <v>0</v>
      </c>
      <c r="R85" s="3">
        <v>40000</v>
      </c>
      <c r="S85" s="3">
        <v>141330</v>
      </c>
      <c r="T85" s="2" t="s">
        <v>87</v>
      </c>
      <c r="U85" s="2" t="s">
        <v>88</v>
      </c>
    </row>
    <row r="86" spans="1:21" x14ac:dyDescent="0.25">
      <c r="A86" s="2" t="s">
        <v>342</v>
      </c>
      <c r="B86" s="2" t="s">
        <v>343</v>
      </c>
      <c r="C86" s="2" t="s">
        <v>65</v>
      </c>
      <c r="D86" s="2" t="s">
        <v>66</v>
      </c>
      <c r="E86" s="2" t="s">
        <v>25</v>
      </c>
      <c r="F86" s="2" t="s">
        <v>112</v>
      </c>
      <c r="G86" s="2" t="s">
        <v>60</v>
      </c>
      <c r="H86" s="2" t="s">
        <v>98</v>
      </c>
      <c r="I86" s="2" t="s">
        <v>283</v>
      </c>
      <c r="J86" s="3">
        <v>438</v>
      </c>
      <c r="K86" s="3">
        <v>7.9</v>
      </c>
      <c r="L86" s="2" t="s">
        <v>128</v>
      </c>
      <c r="M86" s="3">
        <v>103</v>
      </c>
      <c r="N86" s="3">
        <v>110.4</v>
      </c>
      <c r="O86" s="3">
        <v>104880</v>
      </c>
      <c r="P86" s="3">
        <v>12000</v>
      </c>
      <c r="Q86" s="3">
        <v>0</v>
      </c>
      <c r="R86" s="3">
        <v>0</v>
      </c>
      <c r="S86" s="3">
        <v>116880</v>
      </c>
      <c r="T86" s="2" t="s">
        <v>87</v>
      </c>
      <c r="U86" s="2" t="s">
        <v>88</v>
      </c>
    </row>
    <row r="87" spans="1:21" x14ac:dyDescent="0.25">
      <c r="A87" s="2" t="s">
        <v>344</v>
      </c>
      <c r="B87" s="2" t="s">
        <v>345</v>
      </c>
      <c r="C87" s="2" t="s">
        <v>142</v>
      </c>
      <c r="D87" s="2" t="s">
        <v>143</v>
      </c>
      <c r="E87" s="2" t="s">
        <v>186</v>
      </c>
      <c r="F87" s="2" t="s">
        <v>39</v>
      </c>
      <c r="G87" s="2" t="s">
        <v>26</v>
      </c>
      <c r="H87" s="2" t="s">
        <v>52</v>
      </c>
      <c r="I87" s="2" t="s">
        <v>305</v>
      </c>
      <c r="J87" s="3">
        <v>512</v>
      </c>
      <c r="K87" s="3">
        <v>10.9</v>
      </c>
      <c r="L87" s="2" t="s">
        <v>30</v>
      </c>
      <c r="M87" s="3">
        <v>490</v>
      </c>
      <c r="N87" s="3">
        <v>133.6</v>
      </c>
      <c r="O87" s="3">
        <v>126920</v>
      </c>
      <c r="P87" s="3">
        <v>12000</v>
      </c>
      <c r="Q87" s="3">
        <v>1500</v>
      </c>
      <c r="R87" s="3">
        <v>40000</v>
      </c>
      <c r="S87" s="3">
        <v>180420</v>
      </c>
      <c r="T87" s="2" t="s">
        <v>236</v>
      </c>
      <c r="U87" s="2" t="s">
        <v>32</v>
      </c>
    </row>
    <row r="88" spans="1:21" x14ac:dyDescent="0.25">
      <c r="A88" s="2" t="s">
        <v>346</v>
      </c>
      <c r="B88" s="2" t="s">
        <v>265</v>
      </c>
      <c r="C88" s="2" t="s">
        <v>207</v>
      </c>
      <c r="D88" s="2" t="s">
        <v>208</v>
      </c>
      <c r="E88" s="2" t="s">
        <v>111</v>
      </c>
      <c r="F88" s="2" t="s">
        <v>77</v>
      </c>
      <c r="G88" s="2" t="s">
        <v>26</v>
      </c>
      <c r="H88" s="2" t="s">
        <v>177</v>
      </c>
      <c r="I88" s="2" t="s">
        <v>347</v>
      </c>
      <c r="J88" s="3">
        <v>116</v>
      </c>
      <c r="K88" s="3">
        <v>2.2000000000000002</v>
      </c>
      <c r="L88" s="2" t="s">
        <v>54</v>
      </c>
      <c r="M88" s="3">
        <v>311</v>
      </c>
      <c r="N88" s="3">
        <v>26.6</v>
      </c>
      <c r="O88" s="3">
        <v>25270</v>
      </c>
      <c r="P88" s="3">
        <v>5000</v>
      </c>
      <c r="Q88" s="3">
        <v>0</v>
      </c>
      <c r="R88" s="3">
        <v>25000</v>
      </c>
      <c r="S88" s="3">
        <v>55270</v>
      </c>
      <c r="T88" s="2" t="s">
        <v>236</v>
      </c>
      <c r="U88" s="2" t="s">
        <v>32</v>
      </c>
    </row>
    <row r="89" spans="1:21" x14ac:dyDescent="0.25">
      <c r="A89" s="2" t="s">
        <v>348</v>
      </c>
      <c r="B89" s="2" t="s">
        <v>349</v>
      </c>
      <c r="C89" s="2" t="s">
        <v>102</v>
      </c>
      <c r="D89" s="2" t="s">
        <v>103</v>
      </c>
      <c r="E89" s="2" t="s">
        <v>91</v>
      </c>
      <c r="F89" s="2" t="s">
        <v>77</v>
      </c>
      <c r="G89" s="2" t="s">
        <v>105</v>
      </c>
      <c r="H89" s="2" t="s">
        <v>151</v>
      </c>
      <c r="I89" s="2" t="s">
        <v>350</v>
      </c>
      <c r="J89" s="3">
        <v>780</v>
      </c>
      <c r="K89" s="3">
        <v>18</v>
      </c>
      <c r="L89" s="2" t="s">
        <v>86</v>
      </c>
      <c r="M89" s="3">
        <v>496</v>
      </c>
      <c r="N89" s="3">
        <v>219.3</v>
      </c>
      <c r="O89" s="3">
        <v>208335</v>
      </c>
      <c r="P89" s="3">
        <v>5000</v>
      </c>
      <c r="Q89" s="3">
        <v>1000</v>
      </c>
      <c r="R89" s="3">
        <v>15000</v>
      </c>
      <c r="S89" s="3">
        <v>229335</v>
      </c>
      <c r="T89" s="2" t="s">
        <v>31</v>
      </c>
      <c r="U89" s="2" t="s">
        <v>32</v>
      </c>
    </row>
    <row r="90" spans="1:21" x14ac:dyDescent="0.25">
      <c r="A90" s="2" t="s">
        <v>351</v>
      </c>
      <c r="B90" s="2" t="s">
        <v>352</v>
      </c>
      <c r="C90" s="2" t="s">
        <v>74</v>
      </c>
      <c r="D90" s="2" t="s">
        <v>75</v>
      </c>
      <c r="E90" s="2" t="s">
        <v>104</v>
      </c>
      <c r="F90" s="2" t="s">
        <v>77</v>
      </c>
      <c r="G90" s="2" t="s">
        <v>27</v>
      </c>
      <c r="H90" s="2" t="s">
        <v>131</v>
      </c>
      <c r="I90" s="2" t="s">
        <v>353</v>
      </c>
      <c r="J90" s="3">
        <v>177</v>
      </c>
      <c r="K90" s="3">
        <v>2.6</v>
      </c>
      <c r="L90" s="2" t="s">
        <v>42</v>
      </c>
      <c r="M90" s="3">
        <v>521</v>
      </c>
      <c r="N90" s="3">
        <v>29.5</v>
      </c>
      <c r="O90" s="3">
        <v>28025</v>
      </c>
      <c r="P90" s="3">
        <v>8000</v>
      </c>
      <c r="Q90" s="3">
        <v>0</v>
      </c>
      <c r="R90" s="3">
        <v>15000</v>
      </c>
      <c r="S90" s="3">
        <v>51025</v>
      </c>
      <c r="T90" s="2" t="s">
        <v>43</v>
      </c>
      <c r="U90" s="2" t="s">
        <v>44</v>
      </c>
    </row>
    <row r="91" spans="1:21" x14ac:dyDescent="0.25">
      <c r="A91" s="2" t="s">
        <v>354</v>
      </c>
      <c r="B91" s="2" t="s">
        <v>355</v>
      </c>
      <c r="C91" s="2" t="s">
        <v>23</v>
      </c>
      <c r="D91" s="2" t="s">
        <v>24</v>
      </c>
      <c r="E91" s="2" t="s">
        <v>186</v>
      </c>
      <c r="F91" s="2" t="s">
        <v>26</v>
      </c>
      <c r="G91" s="2" t="s">
        <v>77</v>
      </c>
      <c r="H91" s="2" t="s">
        <v>40</v>
      </c>
      <c r="I91" s="2" t="s">
        <v>356</v>
      </c>
      <c r="J91" s="3">
        <v>596</v>
      </c>
      <c r="K91" s="3">
        <v>10.5</v>
      </c>
      <c r="L91" s="2" t="s">
        <v>108</v>
      </c>
      <c r="M91" s="3">
        <v>391</v>
      </c>
      <c r="N91" s="3">
        <v>102.1</v>
      </c>
      <c r="O91" s="3">
        <v>96995</v>
      </c>
      <c r="P91" s="3">
        <v>5000</v>
      </c>
      <c r="Q91" s="3">
        <v>2000</v>
      </c>
      <c r="R91" s="3">
        <v>0</v>
      </c>
      <c r="S91" s="3">
        <v>103995</v>
      </c>
      <c r="T91" s="2" t="s">
        <v>31</v>
      </c>
      <c r="U91" s="2" t="s">
        <v>32</v>
      </c>
    </row>
    <row r="92" spans="1:21" x14ac:dyDescent="0.25">
      <c r="A92" s="2" t="s">
        <v>357</v>
      </c>
      <c r="B92" s="2" t="s">
        <v>358</v>
      </c>
      <c r="C92" s="2" t="s">
        <v>23</v>
      </c>
      <c r="D92" s="2" t="s">
        <v>24</v>
      </c>
      <c r="E92" s="2" t="s">
        <v>171</v>
      </c>
      <c r="F92" s="2" t="s">
        <v>172</v>
      </c>
      <c r="G92" s="2" t="s">
        <v>112</v>
      </c>
      <c r="H92" s="2" t="s">
        <v>359</v>
      </c>
      <c r="I92" s="2" t="s">
        <v>360</v>
      </c>
      <c r="J92" s="3">
        <v>419</v>
      </c>
      <c r="K92" s="3">
        <v>8.9</v>
      </c>
      <c r="L92" s="2" t="s">
        <v>54</v>
      </c>
      <c r="M92" s="3">
        <v>206</v>
      </c>
      <c r="N92" s="3">
        <v>72.5</v>
      </c>
      <c r="O92" s="3">
        <v>68875</v>
      </c>
      <c r="P92" s="3">
        <v>5000</v>
      </c>
      <c r="Q92" s="3">
        <v>500</v>
      </c>
      <c r="R92" s="3">
        <v>25000</v>
      </c>
      <c r="S92" s="3">
        <v>99375</v>
      </c>
      <c r="T92" s="2" t="s">
        <v>87</v>
      </c>
      <c r="U92" s="2" t="s">
        <v>88</v>
      </c>
    </row>
    <row r="93" spans="1:21" x14ac:dyDescent="0.25">
      <c r="A93" s="2" t="s">
        <v>361</v>
      </c>
      <c r="B93" s="2" t="s">
        <v>362</v>
      </c>
      <c r="C93" s="2" t="s">
        <v>142</v>
      </c>
      <c r="D93" s="2" t="s">
        <v>143</v>
      </c>
      <c r="E93" s="2" t="s">
        <v>171</v>
      </c>
      <c r="F93" s="2" t="s">
        <v>84</v>
      </c>
      <c r="G93" s="2" t="s">
        <v>26</v>
      </c>
      <c r="H93" s="2" t="s">
        <v>189</v>
      </c>
      <c r="I93" s="2" t="s">
        <v>363</v>
      </c>
      <c r="J93" s="3">
        <v>106</v>
      </c>
      <c r="K93" s="3">
        <v>2.5</v>
      </c>
      <c r="L93" s="2" t="s">
        <v>54</v>
      </c>
      <c r="M93" s="3">
        <v>500</v>
      </c>
      <c r="N93" s="3">
        <v>28.6</v>
      </c>
      <c r="O93" s="3">
        <v>27170</v>
      </c>
      <c r="P93" s="3">
        <v>10000</v>
      </c>
      <c r="Q93" s="3">
        <v>2500</v>
      </c>
      <c r="R93" s="3">
        <v>5000</v>
      </c>
      <c r="S93" s="3">
        <v>44670</v>
      </c>
      <c r="T93" s="2" t="s">
        <v>43</v>
      </c>
      <c r="U93" s="2" t="s">
        <v>44</v>
      </c>
    </row>
    <row r="94" spans="1:21" x14ac:dyDescent="0.25">
      <c r="A94" s="2" t="s">
        <v>364</v>
      </c>
      <c r="B94" s="2" t="s">
        <v>249</v>
      </c>
      <c r="C94" s="2" t="s">
        <v>81</v>
      </c>
      <c r="D94" s="2" t="s">
        <v>82</v>
      </c>
      <c r="E94" s="2" t="s">
        <v>37</v>
      </c>
      <c r="F94" s="2" t="s">
        <v>112</v>
      </c>
      <c r="G94" s="2" t="s">
        <v>105</v>
      </c>
      <c r="H94" s="2" t="s">
        <v>106</v>
      </c>
      <c r="I94" s="2" t="s">
        <v>365</v>
      </c>
      <c r="J94" s="3">
        <v>135</v>
      </c>
      <c r="K94" s="3">
        <v>2.1</v>
      </c>
      <c r="L94" s="2" t="s">
        <v>94</v>
      </c>
      <c r="M94" s="3">
        <v>128</v>
      </c>
      <c r="N94" s="3">
        <v>24.8</v>
      </c>
      <c r="O94" s="3">
        <v>23560</v>
      </c>
      <c r="P94" s="3">
        <v>5000</v>
      </c>
      <c r="Q94" s="3">
        <v>2000</v>
      </c>
      <c r="R94" s="3">
        <v>40000</v>
      </c>
      <c r="S94" s="3">
        <v>70560</v>
      </c>
      <c r="T94" s="2" t="s">
        <v>87</v>
      </c>
      <c r="U94" s="2" t="s">
        <v>88</v>
      </c>
    </row>
    <row r="95" spans="1:21" x14ac:dyDescent="0.25">
      <c r="A95" s="2" t="s">
        <v>366</v>
      </c>
      <c r="B95" s="2" t="s">
        <v>275</v>
      </c>
      <c r="C95" s="2" t="s">
        <v>81</v>
      </c>
      <c r="D95" s="2" t="s">
        <v>82</v>
      </c>
      <c r="E95" s="2" t="s">
        <v>256</v>
      </c>
      <c r="F95" s="2" t="s">
        <v>172</v>
      </c>
      <c r="G95" s="2" t="s">
        <v>38</v>
      </c>
      <c r="H95" s="2" t="s">
        <v>147</v>
      </c>
      <c r="I95" s="2" t="s">
        <v>367</v>
      </c>
      <c r="J95" s="3">
        <v>102</v>
      </c>
      <c r="K95" s="3">
        <v>2.4</v>
      </c>
      <c r="L95" s="2" t="s">
        <v>54</v>
      </c>
      <c r="M95" s="3">
        <v>113</v>
      </c>
      <c r="N95" s="3">
        <v>21</v>
      </c>
      <c r="O95" s="3">
        <v>19950</v>
      </c>
      <c r="P95" s="3">
        <v>8000</v>
      </c>
      <c r="Q95" s="3">
        <v>2500</v>
      </c>
      <c r="R95" s="3">
        <v>0</v>
      </c>
      <c r="S95" s="3">
        <v>30450</v>
      </c>
      <c r="T95" s="2" t="s">
        <v>31</v>
      </c>
      <c r="U95" s="2" t="s">
        <v>32</v>
      </c>
    </row>
    <row r="96" spans="1:21" x14ac:dyDescent="0.25">
      <c r="A96" s="2" t="s">
        <v>368</v>
      </c>
      <c r="B96" s="2" t="s">
        <v>369</v>
      </c>
      <c r="C96" s="2" t="s">
        <v>207</v>
      </c>
      <c r="D96" s="2" t="s">
        <v>208</v>
      </c>
      <c r="E96" s="2" t="s">
        <v>111</v>
      </c>
      <c r="F96" s="2" t="s">
        <v>38</v>
      </c>
      <c r="G96" s="2" t="s">
        <v>39</v>
      </c>
      <c r="H96" s="2" t="s">
        <v>113</v>
      </c>
      <c r="I96" s="2" t="s">
        <v>370</v>
      </c>
      <c r="J96" s="3">
        <v>509</v>
      </c>
      <c r="K96" s="3">
        <v>11.1</v>
      </c>
      <c r="L96" s="2" t="s">
        <v>120</v>
      </c>
      <c r="M96" s="3">
        <v>468</v>
      </c>
      <c r="N96" s="3">
        <v>87.4</v>
      </c>
      <c r="O96" s="3">
        <v>83030</v>
      </c>
      <c r="P96" s="3">
        <v>12000</v>
      </c>
      <c r="Q96" s="3">
        <v>0</v>
      </c>
      <c r="R96" s="3">
        <v>10000</v>
      </c>
      <c r="S96" s="3">
        <v>105030</v>
      </c>
      <c r="T96" s="2" t="s">
        <v>87</v>
      </c>
      <c r="U96" s="2" t="s">
        <v>88</v>
      </c>
    </row>
    <row r="97" spans="1:21" x14ac:dyDescent="0.25">
      <c r="A97" s="2" t="s">
        <v>371</v>
      </c>
      <c r="B97" s="2" t="s">
        <v>372</v>
      </c>
      <c r="C97" s="2" t="s">
        <v>47</v>
      </c>
      <c r="D97" s="2" t="s">
        <v>48</v>
      </c>
      <c r="E97" s="2" t="s">
        <v>256</v>
      </c>
      <c r="F97" s="2" t="s">
        <v>125</v>
      </c>
      <c r="G97" s="2" t="s">
        <v>77</v>
      </c>
      <c r="H97" s="2" t="s">
        <v>69</v>
      </c>
      <c r="I97" s="2" t="s">
        <v>373</v>
      </c>
      <c r="J97" s="3">
        <v>350</v>
      </c>
      <c r="K97" s="3">
        <v>7.4</v>
      </c>
      <c r="L97" s="2" t="s">
        <v>54</v>
      </c>
      <c r="M97" s="3">
        <v>408</v>
      </c>
      <c r="N97" s="3">
        <v>79</v>
      </c>
      <c r="O97" s="3">
        <v>75050</v>
      </c>
      <c r="P97" s="3">
        <v>10000</v>
      </c>
      <c r="Q97" s="3">
        <v>500</v>
      </c>
      <c r="R97" s="3">
        <v>0</v>
      </c>
      <c r="S97" s="3">
        <v>85550</v>
      </c>
      <c r="T97" s="2" t="s">
        <v>87</v>
      </c>
      <c r="U97" s="2" t="s">
        <v>88</v>
      </c>
    </row>
    <row r="98" spans="1:21" x14ac:dyDescent="0.25">
      <c r="A98" s="2" t="s">
        <v>374</v>
      </c>
      <c r="B98" s="2" t="s">
        <v>343</v>
      </c>
      <c r="C98" s="2" t="s">
        <v>142</v>
      </c>
      <c r="D98" s="2" t="s">
        <v>143</v>
      </c>
      <c r="E98" s="2" t="s">
        <v>176</v>
      </c>
      <c r="F98" s="2" t="s">
        <v>112</v>
      </c>
      <c r="G98" s="2" t="s">
        <v>51</v>
      </c>
      <c r="H98" s="2" t="s">
        <v>163</v>
      </c>
      <c r="I98" s="2" t="s">
        <v>307</v>
      </c>
      <c r="J98" s="3">
        <v>190</v>
      </c>
      <c r="K98" s="3">
        <v>3.6</v>
      </c>
      <c r="L98" s="2" t="s">
        <v>30</v>
      </c>
      <c r="M98" s="3">
        <v>68</v>
      </c>
      <c r="N98" s="3">
        <v>41.4</v>
      </c>
      <c r="O98" s="3">
        <v>39330</v>
      </c>
      <c r="P98" s="3">
        <v>7000</v>
      </c>
      <c r="Q98" s="3">
        <v>500</v>
      </c>
      <c r="R98" s="3">
        <v>10000</v>
      </c>
      <c r="S98" s="3">
        <v>56830</v>
      </c>
      <c r="T98" s="2" t="s">
        <v>43</v>
      </c>
      <c r="U98" s="2" t="s">
        <v>44</v>
      </c>
    </row>
    <row r="99" spans="1:21" x14ac:dyDescent="0.25">
      <c r="A99" s="2" t="s">
        <v>375</v>
      </c>
      <c r="B99" s="2" t="s">
        <v>376</v>
      </c>
      <c r="C99" s="2" t="s">
        <v>23</v>
      </c>
      <c r="D99" s="2" t="s">
        <v>24</v>
      </c>
      <c r="E99" s="2" t="s">
        <v>111</v>
      </c>
      <c r="F99" s="2" t="s">
        <v>60</v>
      </c>
      <c r="G99" s="2" t="s">
        <v>84</v>
      </c>
      <c r="H99" s="2" t="s">
        <v>181</v>
      </c>
      <c r="I99" s="2" t="s">
        <v>377</v>
      </c>
      <c r="J99" s="3">
        <v>139</v>
      </c>
      <c r="K99" s="3">
        <v>3.1</v>
      </c>
      <c r="L99" s="2" t="s">
        <v>62</v>
      </c>
      <c r="M99" s="3">
        <v>88</v>
      </c>
      <c r="N99" s="3">
        <v>25.3</v>
      </c>
      <c r="O99" s="3">
        <v>24035</v>
      </c>
      <c r="P99" s="3">
        <v>12000</v>
      </c>
      <c r="Q99" s="3">
        <v>500</v>
      </c>
      <c r="R99" s="3">
        <v>15000</v>
      </c>
      <c r="S99" s="3">
        <v>51535</v>
      </c>
      <c r="T99" s="2" t="s">
        <v>87</v>
      </c>
      <c r="U99" s="2" t="s">
        <v>88</v>
      </c>
    </row>
    <row r="100" spans="1:21" x14ac:dyDescent="0.25">
      <c r="A100" s="2" t="s">
        <v>378</v>
      </c>
      <c r="B100" s="2" t="s">
        <v>379</v>
      </c>
      <c r="C100" s="2" t="s">
        <v>102</v>
      </c>
      <c r="D100" s="2" t="s">
        <v>103</v>
      </c>
      <c r="E100" s="2" t="s">
        <v>49</v>
      </c>
      <c r="F100" s="2" t="s">
        <v>38</v>
      </c>
      <c r="G100" s="2" t="s">
        <v>172</v>
      </c>
      <c r="H100" s="2" t="s">
        <v>28</v>
      </c>
      <c r="I100" s="2" t="s">
        <v>380</v>
      </c>
      <c r="J100" s="3">
        <v>699</v>
      </c>
      <c r="K100" s="3">
        <v>15.5</v>
      </c>
      <c r="L100" s="2" t="s">
        <v>108</v>
      </c>
      <c r="M100" s="3">
        <v>504</v>
      </c>
      <c r="N100" s="3">
        <v>131.1</v>
      </c>
      <c r="O100" s="3">
        <v>124545</v>
      </c>
      <c r="P100" s="3">
        <v>10000</v>
      </c>
      <c r="Q100" s="3">
        <v>500</v>
      </c>
      <c r="R100" s="3">
        <v>40000</v>
      </c>
      <c r="S100" s="3">
        <v>175045</v>
      </c>
      <c r="T100" s="2" t="s">
        <v>87</v>
      </c>
      <c r="U100" s="2" t="s">
        <v>88</v>
      </c>
    </row>
    <row r="101" spans="1:21" x14ac:dyDescent="0.25">
      <c r="A101" s="2" t="s">
        <v>381</v>
      </c>
      <c r="B101" s="2" t="s">
        <v>185</v>
      </c>
      <c r="C101" s="2" t="s">
        <v>35</v>
      </c>
      <c r="D101" s="2" t="s">
        <v>36</v>
      </c>
      <c r="E101" s="2" t="s">
        <v>176</v>
      </c>
      <c r="F101" s="2" t="s">
        <v>39</v>
      </c>
      <c r="G101" s="2" t="s">
        <v>51</v>
      </c>
      <c r="H101" s="2" t="s">
        <v>106</v>
      </c>
      <c r="I101" s="2" t="s">
        <v>382</v>
      </c>
      <c r="J101" s="3">
        <v>258</v>
      </c>
      <c r="K101" s="3">
        <v>4.8</v>
      </c>
      <c r="L101" s="2" t="s">
        <v>120</v>
      </c>
      <c r="M101" s="3">
        <v>564</v>
      </c>
      <c r="N101" s="3">
        <v>50.8</v>
      </c>
      <c r="O101" s="3">
        <v>48260</v>
      </c>
      <c r="P101" s="3">
        <v>7000</v>
      </c>
      <c r="Q101" s="3">
        <v>500</v>
      </c>
      <c r="R101" s="3">
        <v>0</v>
      </c>
      <c r="S101" s="3">
        <v>55760</v>
      </c>
      <c r="T101" s="2" t="s">
        <v>43</v>
      </c>
      <c r="U101" s="2" t="s">
        <v>44</v>
      </c>
    </row>
    <row r="103" spans="1:21" x14ac:dyDescent="0.25">
      <c r="A103" s="4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topLeftCell="A39" workbookViewId="0">
      <selection activeCell="D13" sqref="D13"/>
    </sheetView>
  </sheetViews>
  <sheetFormatPr defaultRowHeight="15" x14ac:dyDescent="0.25"/>
  <cols>
    <col min="1" max="1" width="3" customWidth="1"/>
    <col min="2" max="2" width="100" customWidth="1"/>
  </cols>
  <sheetData>
    <row r="1" spans="1:2" ht="18" x14ac:dyDescent="0.25">
      <c r="B1" s="11" t="s">
        <v>385</v>
      </c>
    </row>
    <row r="3" spans="1:2" ht="20.100000000000001" customHeight="1" x14ac:dyDescent="0.25">
      <c r="A3" s="52"/>
      <c r="B3" s="53"/>
    </row>
    <row r="4" spans="1:2" ht="30" customHeight="1" x14ac:dyDescent="0.25">
      <c r="B4" s="12" t="s">
        <v>386</v>
      </c>
    </row>
    <row r="5" spans="1:2" ht="30" customHeight="1" x14ac:dyDescent="0.25">
      <c r="B5" s="12" t="s">
        <v>387</v>
      </c>
    </row>
    <row r="6" spans="1:2" ht="30" customHeight="1" x14ac:dyDescent="0.25">
      <c r="B6" s="12" t="s">
        <v>388</v>
      </c>
    </row>
    <row r="8" spans="1:2" ht="20.100000000000001" customHeight="1" x14ac:dyDescent="0.25">
      <c r="A8" s="52"/>
      <c r="B8" s="53"/>
    </row>
    <row r="9" spans="1:2" ht="30" customHeight="1" x14ac:dyDescent="0.25">
      <c r="B9" s="12" t="s">
        <v>389</v>
      </c>
    </row>
    <row r="10" spans="1:2" ht="30" customHeight="1" x14ac:dyDescent="0.25">
      <c r="B10" s="12" t="s">
        <v>390</v>
      </c>
    </row>
    <row r="11" spans="1:2" ht="30" customHeight="1" x14ac:dyDescent="0.25">
      <c r="B11" s="12" t="s">
        <v>391</v>
      </c>
    </row>
    <row r="12" spans="1:2" ht="30" customHeight="1" x14ac:dyDescent="0.25">
      <c r="B12" s="12"/>
    </row>
    <row r="14" spans="1:2" ht="20.100000000000001" customHeight="1" x14ac:dyDescent="0.25">
      <c r="A14" s="52"/>
      <c r="B14" s="53"/>
    </row>
    <row r="15" spans="1:2" ht="30" customHeight="1" x14ac:dyDescent="0.25">
      <c r="B15" s="12" t="s">
        <v>392</v>
      </c>
    </row>
    <row r="16" spans="1:2" ht="30" customHeight="1" x14ac:dyDescent="0.25">
      <c r="B16" s="12" t="s">
        <v>393</v>
      </c>
    </row>
    <row r="17" spans="1:2" ht="30" customHeight="1" x14ac:dyDescent="0.25">
      <c r="B17" s="12" t="s">
        <v>394</v>
      </c>
    </row>
    <row r="18" spans="1:2" ht="30" customHeight="1" x14ac:dyDescent="0.25">
      <c r="B18" s="12" t="s">
        <v>395</v>
      </c>
    </row>
    <row r="20" spans="1:2" ht="20.100000000000001" customHeight="1" x14ac:dyDescent="0.25">
      <c r="A20" s="52"/>
      <c r="B20" s="53"/>
    </row>
    <row r="21" spans="1:2" ht="30" customHeight="1" x14ac:dyDescent="0.25">
      <c r="B21" s="12" t="s">
        <v>396</v>
      </c>
    </row>
    <row r="22" spans="1:2" ht="30" customHeight="1" x14ac:dyDescent="0.25">
      <c r="B22" s="12" t="s">
        <v>397</v>
      </c>
    </row>
    <row r="23" spans="1:2" ht="30" customHeight="1" x14ac:dyDescent="0.25">
      <c r="B23" s="12" t="s">
        <v>398</v>
      </c>
    </row>
    <row r="24" spans="1:2" ht="30" customHeight="1" x14ac:dyDescent="0.25">
      <c r="B24" s="12" t="s">
        <v>399</v>
      </c>
    </row>
    <row r="26" spans="1:2" ht="20.100000000000001" customHeight="1" x14ac:dyDescent="0.25">
      <c r="A26" s="52"/>
      <c r="B26" s="53"/>
    </row>
    <row r="27" spans="1:2" ht="30" customHeight="1" x14ac:dyDescent="0.25">
      <c r="B27" s="12" t="s">
        <v>400</v>
      </c>
    </row>
    <row r="28" spans="1:2" ht="30" customHeight="1" x14ac:dyDescent="0.25">
      <c r="B28" s="12" t="s">
        <v>401</v>
      </c>
    </row>
    <row r="29" spans="1:2" ht="30" customHeight="1" x14ac:dyDescent="0.25">
      <c r="B29" s="12" t="s">
        <v>402</v>
      </c>
    </row>
    <row r="31" spans="1:2" ht="20.100000000000001" customHeight="1" x14ac:dyDescent="0.25">
      <c r="A31" s="52"/>
      <c r="B31" s="53"/>
    </row>
    <row r="32" spans="1:2" ht="30" customHeight="1" x14ac:dyDescent="0.25">
      <c r="B32" s="12" t="s">
        <v>403</v>
      </c>
    </row>
    <row r="33" spans="1:2" ht="30" customHeight="1" x14ac:dyDescent="0.25">
      <c r="B33" s="12" t="s">
        <v>404</v>
      </c>
    </row>
    <row r="34" spans="1:2" ht="30" customHeight="1" x14ac:dyDescent="0.25">
      <c r="B34" s="12" t="s">
        <v>405</v>
      </c>
    </row>
    <row r="36" spans="1:2" ht="20.100000000000001" customHeight="1" x14ac:dyDescent="0.25">
      <c r="A36" s="52"/>
      <c r="B36" s="53"/>
    </row>
    <row r="37" spans="1:2" ht="30" customHeight="1" x14ac:dyDescent="0.25">
      <c r="B37" s="12" t="s">
        <v>406</v>
      </c>
    </row>
    <row r="38" spans="1:2" ht="30" customHeight="1" x14ac:dyDescent="0.25">
      <c r="B38" s="12" t="s">
        <v>407</v>
      </c>
    </row>
    <row r="39" spans="1:2" ht="30" customHeight="1" x14ac:dyDescent="0.25">
      <c r="B39" s="12" t="s">
        <v>408</v>
      </c>
    </row>
    <row r="41" spans="1:2" ht="20.100000000000001" customHeight="1" x14ac:dyDescent="0.25">
      <c r="A41" s="52"/>
      <c r="B41" s="53"/>
    </row>
    <row r="42" spans="1:2" ht="30" customHeight="1" x14ac:dyDescent="0.25">
      <c r="B42" s="12" t="s">
        <v>409</v>
      </c>
    </row>
    <row r="43" spans="1:2" ht="30" customHeight="1" x14ac:dyDescent="0.25">
      <c r="B43" s="12" t="s">
        <v>410</v>
      </c>
    </row>
    <row r="44" spans="1:2" ht="30" customHeight="1" x14ac:dyDescent="0.25">
      <c r="B44" s="12" t="s">
        <v>411</v>
      </c>
    </row>
    <row r="46" spans="1:2" x14ac:dyDescent="0.25">
      <c r="B46" s="13" t="s">
        <v>412</v>
      </c>
    </row>
    <row r="47" spans="1:2" ht="18" customHeight="1" x14ac:dyDescent="0.25">
      <c r="B47" s="12" t="s">
        <v>413</v>
      </c>
    </row>
    <row r="48" spans="1:2" ht="18" customHeight="1" x14ac:dyDescent="0.25">
      <c r="B48" s="12" t="s">
        <v>414</v>
      </c>
    </row>
    <row r="49" spans="2:2" ht="18" customHeight="1" x14ac:dyDescent="0.25">
      <c r="B49" s="12" t="s">
        <v>415</v>
      </c>
    </row>
    <row r="50" spans="2:2" ht="18" customHeight="1" x14ac:dyDescent="0.25">
      <c r="B50" s="12" t="s">
        <v>416</v>
      </c>
    </row>
    <row r="51" spans="2:2" ht="18" customHeight="1" x14ac:dyDescent="0.25">
      <c r="B51" s="12" t="s">
        <v>417</v>
      </c>
    </row>
    <row r="52" spans="2:2" ht="18" customHeight="1" x14ac:dyDescent="0.25">
      <c r="B52" s="12" t="s">
        <v>418</v>
      </c>
    </row>
    <row r="53" spans="2:2" ht="18" customHeight="1" x14ac:dyDescent="0.25">
      <c r="B53" s="12" t="s">
        <v>419</v>
      </c>
    </row>
  </sheetData>
  <mergeCells count="8">
    <mergeCell ref="A36:B36"/>
    <mergeCell ref="A41:B41"/>
    <mergeCell ref="A3:B3"/>
    <mergeCell ref="A8:B8"/>
    <mergeCell ref="A14:B14"/>
    <mergeCell ref="A20:B20"/>
    <mergeCell ref="A26:B26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opLeftCell="U1" workbookViewId="0">
      <selection activeCell="Y98" sqref="Y98"/>
    </sheetView>
  </sheetViews>
  <sheetFormatPr defaultColWidth="9.5703125" defaultRowHeight="15" x14ac:dyDescent="0.25"/>
  <cols>
    <col min="1" max="1" width="12.42578125" bestFit="1" customWidth="1"/>
    <col min="2" max="2" width="10.28515625" bestFit="1" customWidth="1"/>
    <col min="3" max="3" width="12" bestFit="1" customWidth="1"/>
    <col min="4" max="4" width="14.140625" bestFit="1" customWidth="1"/>
    <col min="5" max="5" width="19.42578125" bestFit="1" customWidth="1"/>
    <col min="6" max="6" width="17.42578125" bestFit="1" customWidth="1"/>
    <col min="7" max="7" width="12" bestFit="1" customWidth="1"/>
    <col min="8" max="8" width="17.140625" bestFit="1" customWidth="1"/>
    <col min="9" max="9" width="21.5703125" style="30" bestFit="1" customWidth="1"/>
    <col min="10" max="10" width="17.85546875" style="30" bestFit="1" customWidth="1"/>
    <col min="11" max="11" width="19.42578125" bestFit="1" customWidth="1"/>
    <col min="12" max="12" width="24.5703125" style="43" bestFit="1" customWidth="1"/>
    <col min="13" max="13" width="18.28515625" bestFit="1" customWidth="1"/>
    <col min="14" max="14" width="14" style="10" bestFit="1" customWidth="1"/>
    <col min="15" max="15" width="19.28515625" style="8" bestFit="1" customWidth="1"/>
    <col min="16" max="16" width="22.42578125" style="38" bestFit="1" customWidth="1"/>
    <col min="17" max="17" width="22.42578125" style="38" customWidth="1"/>
    <col min="18" max="18" width="22.42578125" style="47" customWidth="1"/>
    <col min="19" max="19" width="22.42578125" style="51" customWidth="1"/>
    <col min="20" max="20" width="30.140625" style="38" bestFit="1" customWidth="1"/>
    <col min="21" max="21" width="21.85546875" style="38" bestFit="1" customWidth="1"/>
    <col min="22" max="22" width="31.28515625" style="38" bestFit="1" customWidth="1"/>
    <col min="23" max="23" width="31.28515625" style="38" customWidth="1"/>
    <col min="24" max="24" width="28" style="38" bestFit="1" customWidth="1"/>
    <col min="25" max="25" width="28" style="38" customWidth="1"/>
    <col min="26" max="26" width="16.7109375" bestFit="1" customWidth="1"/>
    <col min="27" max="27" width="20" bestFit="1" customWidth="1"/>
  </cols>
  <sheetData>
    <row r="1" spans="1:27" s="14" customFormat="1" ht="19.5" customHeight="1" x14ac:dyDescent="0.25">
      <c r="A1" s="17" t="s">
        <v>0</v>
      </c>
      <c r="B1" s="18" t="s">
        <v>1</v>
      </c>
      <c r="C1" s="25" t="s">
        <v>384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27" t="s">
        <v>7</v>
      </c>
      <c r="J1" s="27" t="s">
        <v>8</v>
      </c>
      <c r="K1" s="18" t="s">
        <v>9</v>
      </c>
      <c r="L1" s="42" t="s">
        <v>10</v>
      </c>
      <c r="M1" s="18" t="s">
        <v>11</v>
      </c>
      <c r="N1" s="33" t="s">
        <v>12</v>
      </c>
      <c r="O1" s="31" t="s">
        <v>13</v>
      </c>
      <c r="P1" s="35" t="s">
        <v>14</v>
      </c>
      <c r="Q1" s="41" t="s">
        <v>424</v>
      </c>
      <c r="R1" s="44" t="s">
        <v>425</v>
      </c>
      <c r="S1" s="48" t="s">
        <v>426</v>
      </c>
      <c r="T1" s="35" t="s">
        <v>15</v>
      </c>
      <c r="U1" s="35" t="s">
        <v>16</v>
      </c>
      <c r="V1" s="35" t="s">
        <v>17</v>
      </c>
      <c r="W1" s="41" t="s">
        <v>429</v>
      </c>
      <c r="X1" s="35" t="s">
        <v>18</v>
      </c>
      <c r="Y1" s="41" t="s">
        <v>430</v>
      </c>
      <c r="Z1" s="18" t="s">
        <v>19</v>
      </c>
      <c r="AA1" s="19" t="s">
        <v>20</v>
      </c>
    </row>
    <row r="2" spans="1:27" x14ac:dyDescent="0.25">
      <c r="A2" s="15" t="s">
        <v>21</v>
      </c>
      <c r="B2" s="5">
        <v>45872</v>
      </c>
      <c r="C2" s="5" t="str">
        <f>TEXT(Table1[[#This Row],[Date]],"mmmm")</f>
        <v>August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8">
        <v>0.28125</v>
      </c>
      <c r="J2" s="28">
        <v>0.32708333333333334</v>
      </c>
      <c r="K2" s="3">
        <v>66</v>
      </c>
      <c r="L2" s="6">
        <v>1.1000000000000001</v>
      </c>
      <c r="M2" s="2" t="s">
        <v>30</v>
      </c>
      <c r="N2" s="9">
        <v>154</v>
      </c>
      <c r="O2" s="7">
        <v>17.5</v>
      </c>
      <c r="P2" s="36">
        <v>16625</v>
      </c>
      <c r="Q2" s="36">
        <f>Table1[[#This Row],[Fuel Cost (NGN)]]/Table1[[#This Row],[Distance (km)]]</f>
        <v>251.89393939393941</v>
      </c>
      <c r="R2" s="45">
        <v>3.7714285714285714</v>
      </c>
      <c r="S2" s="49">
        <v>211.85064935064935</v>
      </c>
      <c r="T2" s="36">
        <v>5000</v>
      </c>
      <c r="U2" s="36">
        <v>1000</v>
      </c>
      <c r="V2" s="36">
        <v>10000</v>
      </c>
      <c r="W2" s="36" t="s">
        <v>427</v>
      </c>
      <c r="X2" s="36">
        <v>32625</v>
      </c>
      <c r="Y2" s="36" t="str">
        <f>IF(OR(Table1[[#This Row],[Trip Status]]="Failed",Table1[[#This Row],[Trip Status]]="Delayed"),"Issue","Normal")</f>
        <v>Issue</v>
      </c>
      <c r="Z2" s="2" t="s">
        <v>31</v>
      </c>
      <c r="AA2" s="16" t="s">
        <v>32</v>
      </c>
    </row>
    <row r="3" spans="1:27" x14ac:dyDescent="0.25">
      <c r="A3" s="15" t="s">
        <v>33</v>
      </c>
      <c r="B3" s="5">
        <v>45793</v>
      </c>
      <c r="C3" s="5" t="str">
        <f>TEXT(Table1[[#This Row],[Date]],"mmmm")</f>
        <v>May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8">
        <v>0.23958333333333334</v>
      </c>
      <c r="J3" s="28">
        <v>0.7895833333333333</v>
      </c>
      <c r="K3" s="3">
        <v>609</v>
      </c>
      <c r="L3" s="6">
        <v>13.2</v>
      </c>
      <c r="M3" s="2" t="s">
        <v>42</v>
      </c>
      <c r="N3" s="9">
        <v>420</v>
      </c>
      <c r="O3" s="7">
        <v>116.4</v>
      </c>
      <c r="P3" s="36">
        <v>110580</v>
      </c>
      <c r="Q3" s="36">
        <f>Table1[[#This Row],[Fuel Cost (NGN)]]/Table1[[#This Row],[Distance (km)]]</f>
        <v>181.57635467980296</v>
      </c>
      <c r="R3" s="45">
        <v>5.231958762886598</v>
      </c>
      <c r="S3" s="49">
        <v>275.1904761904762</v>
      </c>
      <c r="T3" s="36">
        <v>5000</v>
      </c>
      <c r="U3" s="36">
        <v>0</v>
      </c>
      <c r="V3" s="36">
        <v>0</v>
      </c>
      <c r="W3" s="36" t="s">
        <v>428</v>
      </c>
      <c r="X3" s="36">
        <v>115580</v>
      </c>
      <c r="Y3" s="36" t="str">
        <f>IF(OR(Table1[[#This Row],[Trip Status]]="Failed",Table1[[#This Row],[Trip Status]]="Delayed"),"Issue","Normal")</f>
        <v>Normal</v>
      </c>
      <c r="Z3" s="2" t="s">
        <v>43</v>
      </c>
      <c r="AA3" s="16" t="s">
        <v>44</v>
      </c>
    </row>
    <row r="4" spans="1:27" x14ac:dyDescent="0.25">
      <c r="A4" s="15" t="s">
        <v>45</v>
      </c>
      <c r="B4" s="5">
        <v>45806</v>
      </c>
      <c r="C4" s="5" t="str">
        <f>TEXT(Table1[[#This Row],[Date]],"mmmm")</f>
        <v>May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8">
        <v>0.35416666666666669</v>
      </c>
      <c r="J4" s="28">
        <v>0.52916666666666667</v>
      </c>
      <c r="K4" s="3">
        <v>163</v>
      </c>
      <c r="L4" s="6">
        <v>4.2</v>
      </c>
      <c r="M4" s="2" t="s">
        <v>54</v>
      </c>
      <c r="N4" s="9">
        <v>429</v>
      </c>
      <c r="O4" s="7">
        <v>35.700000000000003</v>
      </c>
      <c r="P4" s="36">
        <v>33915</v>
      </c>
      <c r="Q4" s="36">
        <f>Table1[[#This Row],[Fuel Cost (NGN)]]/Table1[[#This Row],[Distance (km)]]</f>
        <v>208.06748466257667</v>
      </c>
      <c r="R4" s="45">
        <v>4.5658263305322127</v>
      </c>
      <c r="S4" s="49">
        <v>103.53146853146853</v>
      </c>
      <c r="T4" s="36">
        <v>8000</v>
      </c>
      <c r="U4" s="36">
        <v>2500</v>
      </c>
      <c r="V4" s="36">
        <v>0</v>
      </c>
      <c r="W4" s="36" t="s">
        <v>428</v>
      </c>
      <c r="X4" s="36">
        <v>44415</v>
      </c>
      <c r="Y4" s="36" t="str">
        <f>IF(OR(Table1[[#This Row],[Trip Status]]="Failed",Table1[[#This Row],[Trip Status]]="Delayed"),"Issue","Normal")</f>
        <v>Issue</v>
      </c>
      <c r="Z4" s="2" t="s">
        <v>31</v>
      </c>
      <c r="AA4" s="16" t="s">
        <v>32</v>
      </c>
    </row>
    <row r="5" spans="1:27" x14ac:dyDescent="0.25">
      <c r="A5" s="15" t="s">
        <v>55</v>
      </c>
      <c r="B5" s="5">
        <v>45745</v>
      </c>
      <c r="C5" s="5" t="str">
        <f>TEXT(Table1[[#This Row],[Date]],"mmmm")</f>
        <v>March</v>
      </c>
      <c r="D5" s="2" t="s">
        <v>57</v>
      </c>
      <c r="E5" s="2" t="s">
        <v>58</v>
      </c>
      <c r="F5" s="2" t="s">
        <v>59</v>
      </c>
      <c r="G5" s="2" t="s">
        <v>50</v>
      </c>
      <c r="H5" s="2" t="s">
        <v>60</v>
      </c>
      <c r="I5" s="28">
        <v>0.35416666666666669</v>
      </c>
      <c r="J5" s="28">
        <v>0.72916666666666663</v>
      </c>
      <c r="K5" s="3">
        <v>533</v>
      </c>
      <c r="L5" s="6">
        <v>9</v>
      </c>
      <c r="M5" s="2" t="s">
        <v>62</v>
      </c>
      <c r="N5" s="9">
        <v>274</v>
      </c>
      <c r="O5" s="7">
        <v>96</v>
      </c>
      <c r="P5" s="36">
        <v>91200</v>
      </c>
      <c r="Q5" s="36">
        <f>Table1[[#This Row],[Fuel Cost (NGN)]]/Table1[[#This Row],[Distance (km)]]</f>
        <v>171.10694183864916</v>
      </c>
      <c r="R5" s="45">
        <v>5.552083333333333</v>
      </c>
      <c r="S5" s="49">
        <v>352.91970802919707</v>
      </c>
      <c r="T5" s="36">
        <v>5000</v>
      </c>
      <c r="U5" s="36">
        <v>500</v>
      </c>
      <c r="V5" s="36">
        <v>0</v>
      </c>
      <c r="W5" s="36" t="s">
        <v>428</v>
      </c>
      <c r="X5" s="36">
        <v>96700</v>
      </c>
      <c r="Y5" s="36" t="str">
        <f>IF(OR(Table1[[#This Row],[Trip Status]]="Failed",Table1[[#This Row],[Trip Status]]="Delayed"),"Issue","Normal")</f>
        <v>Normal</v>
      </c>
      <c r="Z5" s="2" t="s">
        <v>43</v>
      </c>
      <c r="AA5" s="16" t="s">
        <v>44</v>
      </c>
    </row>
    <row r="6" spans="1:27" x14ac:dyDescent="0.25">
      <c r="A6" s="15" t="s">
        <v>63</v>
      </c>
      <c r="B6" s="5">
        <v>45819</v>
      </c>
      <c r="C6" s="5" t="str">
        <f>TEXT(Table1[[#This Row],[Date]],"mmmm")</f>
        <v>June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50</v>
      </c>
      <c r="I6" s="28">
        <v>0.30208333333333331</v>
      </c>
      <c r="J6" s="28">
        <v>0.85625000000000007</v>
      </c>
      <c r="K6" s="3">
        <v>756</v>
      </c>
      <c r="L6" s="6">
        <v>13.3</v>
      </c>
      <c r="M6" s="2" t="s">
        <v>71</v>
      </c>
      <c r="N6" s="9">
        <v>196</v>
      </c>
      <c r="O6" s="7">
        <v>176</v>
      </c>
      <c r="P6" s="36">
        <v>167200</v>
      </c>
      <c r="Q6" s="36">
        <f>Table1[[#This Row],[Fuel Cost (NGN)]]/Table1[[#This Row],[Distance (km)]]</f>
        <v>221.16402116402116</v>
      </c>
      <c r="R6" s="45">
        <v>4.2954545454545459</v>
      </c>
      <c r="S6" s="49">
        <v>1105.6122448979593</v>
      </c>
      <c r="T6" s="36">
        <v>7000</v>
      </c>
      <c r="U6" s="36">
        <v>2500</v>
      </c>
      <c r="V6" s="36">
        <v>40000</v>
      </c>
      <c r="W6" s="36" t="s">
        <v>427</v>
      </c>
      <c r="X6" s="36">
        <v>216700</v>
      </c>
      <c r="Y6" s="36" t="str">
        <f>IF(OR(Table1[[#This Row],[Trip Status]]="Failed",Table1[[#This Row],[Trip Status]]="Delayed"),"Issue","Normal")</f>
        <v>Issue</v>
      </c>
      <c r="Z6" s="2" t="s">
        <v>31</v>
      </c>
      <c r="AA6" s="16" t="s">
        <v>32</v>
      </c>
    </row>
    <row r="7" spans="1:27" x14ac:dyDescent="0.25">
      <c r="A7" s="15" t="s">
        <v>72</v>
      </c>
      <c r="B7" s="5">
        <v>45792</v>
      </c>
      <c r="C7" s="5" t="str">
        <f>TEXT(Table1[[#This Row],[Date]],"mmmm")</f>
        <v>May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26</v>
      </c>
      <c r="I7" s="28">
        <v>0.30208333333333331</v>
      </c>
      <c r="J7" s="28">
        <v>0.59375</v>
      </c>
      <c r="K7" s="3">
        <v>468</v>
      </c>
      <c r="L7" s="6">
        <v>7</v>
      </c>
      <c r="M7" s="2" t="s">
        <v>71</v>
      </c>
      <c r="N7" s="9">
        <v>143</v>
      </c>
      <c r="O7" s="7">
        <v>81.099999999999994</v>
      </c>
      <c r="P7" s="36">
        <v>77045</v>
      </c>
      <c r="Q7" s="36">
        <f>Table1[[#This Row],[Fuel Cost (NGN)]]/Table1[[#This Row],[Distance (km)]]</f>
        <v>164.62606837606839</v>
      </c>
      <c r="R7" s="45">
        <v>5.770653514180025</v>
      </c>
      <c r="S7" s="49">
        <v>577.23776223776224</v>
      </c>
      <c r="T7" s="36">
        <v>5000</v>
      </c>
      <c r="U7" s="36">
        <v>500</v>
      </c>
      <c r="V7" s="36">
        <v>0</v>
      </c>
      <c r="W7" s="36" t="s">
        <v>428</v>
      </c>
      <c r="X7" s="36">
        <v>82545</v>
      </c>
      <c r="Y7" s="36" t="str">
        <f>IF(OR(Table1[[#This Row],[Trip Status]]="Failed",Table1[[#This Row],[Trip Status]]="Delayed"),"Issue","Normal")</f>
        <v>Normal</v>
      </c>
      <c r="Z7" s="2" t="s">
        <v>43</v>
      </c>
      <c r="AA7" s="16" t="s">
        <v>44</v>
      </c>
    </row>
    <row r="8" spans="1:27" x14ac:dyDescent="0.25">
      <c r="A8" s="15" t="s">
        <v>79</v>
      </c>
      <c r="B8" s="5">
        <v>45874</v>
      </c>
      <c r="C8" s="5" t="str">
        <f>TEXT(Table1[[#This Row],[Date]],"mmmm")</f>
        <v>August</v>
      </c>
      <c r="D8" s="2" t="s">
        <v>81</v>
      </c>
      <c r="E8" s="2" t="s">
        <v>82</v>
      </c>
      <c r="F8" s="2" t="s">
        <v>83</v>
      </c>
      <c r="G8" s="2" t="s">
        <v>77</v>
      </c>
      <c r="H8" s="2" t="s">
        <v>84</v>
      </c>
      <c r="I8" s="28">
        <v>0.35416666666666669</v>
      </c>
      <c r="J8" s="28">
        <v>0.83750000000000002</v>
      </c>
      <c r="K8" s="3">
        <v>670</v>
      </c>
      <c r="L8" s="6">
        <v>11.6</v>
      </c>
      <c r="M8" s="2" t="s">
        <v>86</v>
      </c>
      <c r="N8" s="9">
        <v>167</v>
      </c>
      <c r="O8" s="7">
        <v>120.8</v>
      </c>
      <c r="P8" s="36">
        <v>114760</v>
      </c>
      <c r="Q8" s="36">
        <f>Table1[[#This Row],[Fuel Cost (NGN)]]/Table1[[#This Row],[Distance (km)]]</f>
        <v>171.28358208955223</v>
      </c>
      <c r="R8" s="45">
        <v>5.5463576158940402</v>
      </c>
      <c r="S8" s="49">
        <v>824.91017964071852</v>
      </c>
      <c r="T8" s="36">
        <v>12000</v>
      </c>
      <c r="U8" s="36">
        <v>1000</v>
      </c>
      <c r="V8" s="36">
        <v>10000</v>
      </c>
      <c r="W8" s="36" t="s">
        <v>427</v>
      </c>
      <c r="X8" s="36">
        <v>137760</v>
      </c>
      <c r="Y8" s="36" t="str">
        <f>IF(OR(Table1[[#This Row],[Trip Status]]="Failed",Table1[[#This Row],[Trip Status]]="Delayed"),"Issue","Normal")</f>
        <v>Normal</v>
      </c>
      <c r="Z8" s="2" t="s">
        <v>87</v>
      </c>
      <c r="AA8" s="16" t="s">
        <v>88</v>
      </c>
    </row>
    <row r="9" spans="1:27" x14ac:dyDescent="0.25">
      <c r="A9" s="15" t="s">
        <v>89</v>
      </c>
      <c r="B9" s="5">
        <v>45808</v>
      </c>
      <c r="C9" s="5" t="str">
        <f>TEXT(Table1[[#This Row],[Date]],"mmmm")</f>
        <v>May</v>
      </c>
      <c r="D9" s="2" t="s">
        <v>65</v>
      </c>
      <c r="E9" s="2" t="s">
        <v>66</v>
      </c>
      <c r="F9" s="2" t="s">
        <v>91</v>
      </c>
      <c r="G9" s="2" t="s">
        <v>39</v>
      </c>
      <c r="H9" s="2" t="s">
        <v>92</v>
      </c>
      <c r="I9" s="28">
        <v>0.30208333333333331</v>
      </c>
      <c r="J9" s="28">
        <v>0.89374999999999993</v>
      </c>
      <c r="K9" s="3">
        <v>799</v>
      </c>
      <c r="L9" s="6">
        <v>14.2</v>
      </c>
      <c r="M9" s="2" t="s">
        <v>94</v>
      </c>
      <c r="N9" s="9">
        <v>569</v>
      </c>
      <c r="O9" s="7">
        <v>150</v>
      </c>
      <c r="P9" s="36">
        <v>142500</v>
      </c>
      <c r="Q9" s="36">
        <f>Table1[[#This Row],[Fuel Cost (NGN)]]/Table1[[#This Row],[Distance (km)]]</f>
        <v>178.34793491864832</v>
      </c>
      <c r="R9" s="45">
        <v>5.3266666666666671</v>
      </c>
      <c r="S9" s="49">
        <v>264.49912126537788</v>
      </c>
      <c r="T9" s="36">
        <v>7000</v>
      </c>
      <c r="U9" s="36">
        <v>1000</v>
      </c>
      <c r="V9" s="36">
        <v>0</v>
      </c>
      <c r="W9" s="36" t="s">
        <v>428</v>
      </c>
      <c r="X9" s="36">
        <v>150500</v>
      </c>
      <c r="Y9" s="36" t="str">
        <f>IF(OR(Table1[[#This Row],[Trip Status]]="Failed",Table1[[#This Row],[Trip Status]]="Delayed"),"Issue","Normal")</f>
        <v>Issue</v>
      </c>
      <c r="Z9" s="2" t="s">
        <v>31</v>
      </c>
      <c r="AA9" s="16" t="s">
        <v>32</v>
      </c>
    </row>
    <row r="10" spans="1:27" x14ac:dyDescent="0.25">
      <c r="A10" s="15" t="s">
        <v>95</v>
      </c>
      <c r="B10" s="5">
        <v>45658</v>
      </c>
      <c r="C10" s="5" t="str">
        <f>TEXT(Table1[[#This Row],[Date]],"mmmm")</f>
        <v>January</v>
      </c>
      <c r="D10" s="2" t="s">
        <v>81</v>
      </c>
      <c r="E10" s="2" t="s">
        <v>82</v>
      </c>
      <c r="F10" s="2" t="s">
        <v>97</v>
      </c>
      <c r="G10" s="2" t="s">
        <v>39</v>
      </c>
      <c r="H10" s="2" t="s">
        <v>92</v>
      </c>
      <c r="I10" s="28">
        <v>0.3125</v>
      </c>
      <c r="J10" s="28">
        <v>0.45833333333333331</v>
      </c>
      <c r="K10" s="3">
        <v>174</v>
      </c>
      <c r="L10" s="6">
        <v>3.5</v>
      </c>
      <c r="M10" s="2" t="s">
        <v>42</v>
      </c>
      <c r="N10" s="9">
        <v>130</v>
      </c>
      <c r="O10" s="7">
        <v>46.3</v>
      </c>
      <c r="P10" s="36">
        <v>43985</v>
      </c>
      <c r="Q10" s="36">
        <f>Table1[[#This Row],[Fuel Cost (NGN)]]/Table1[[#This Row],[Distance (km)]]</f>
        <v>252.78735632183907</v>
      </c>
      <c r="R10" s="45">
        <v>3.7580993520518362</v>
      </c>
      <c r="S10" s="49">
        <v>722.96153846153845</v>
      </c>
      <c r="T10" s="36">
        <v>10000</v>
      </c>
      <c r="U10" s="36">
        <v>0</v>
      </c>
      <c r="V10" s="36">
        <v>40000</v>
      </c>
      <c r="W10" s="36" t="s">
        <v>427</v>
      </c>
      <c r="X10" s="36">
        <v>93985</v>
      </c>
      <c r="Y10" s="36" t="str">
        <f>IF(OR(Table1[[#This Row],[Trip Status]]="Failed",Table1[[#This Row],[Trip Status]]="Delayed"),"Issue","Normal")</f>
        <v>Normal</v>
      </c>
      <c r="Z10" s="2" t="s">
        <v>43</v>
      </c>
      <c r="AA10" s="16" t="s">
        <v>44</v>
      </c>
    </row>
    <row r="11" spans="1:27" x14ac:dyDescent="0.25">
      <c r="A11" s="15" t="s">
        <v>100</v>
      </c>
      <c r="B11" s="5">
        <v>45722</v>
      </c>
      <c r="C11" s="5" t="str">
        <f>TEXT(Table1[[#This Row],[Date]],"mmmm")</f>
        <v>March</v>
      </c>
      <c r="D11" s="2" t="s">
        <v>102</v>
      </c>
      <c r="E11" s="2" t="s">
        <v>103</v>
      </c>
      <c r="F11" s="2" t="s">
        <v>104</v>
      </c>
      <c r="G11" s="2" t="s">
        <v>39</v>
      </c>
      <c r="H11" s="2" t="s">
        <v>105</v>
      </c>
      <c r="I11" s="28">
        <v>0.32291666666666669</v>
      </c>
      <c r="J11" s="28">
        <v>0.52708333333333335</v>
      </c>
      <c r="K11" s="3">
        <v>229</v>
      </c>
      <c r="L11" s="6">
        <v>4.9000000000000004</v>
      </c>
      <c r="M11" s="2" t="s">
        <v>108</v>
      </c>
      <c r="N11" s="9">
        <v>369</v>
      </c>
      <c r="O11" s="7">
        <v>48.8</v>
      </c>
      <c r="P11" s="36">
        <v>46360</v>
      </c>
      <c r="Q11" s="36">
        <f>Table1[[#This Row],[Fuel Cost (NGN)]]/Table1[[#This Row],[Distance (km)]]</f>
        <v>202.44541484716157</v>
      </c>
      <c r="R11" s="45">
        <v>4.6926229508196728</v>
      </c>
      <c r="S11" s="49">
        <v>259.78319783197833</v>
      </c>
      <c r="T11" s="36">
        <v>8000</v>
      </c>
      <c r="U11" s="36">
        <v>1500</v>
      </c>
      <c r="V11" s="36">
        <v>40000</v>
      </c>
      <c r="W11" s="36" t="s">
        <v>427</v>
      </c>
      <c r="X11" s="36">
        <v>95860</v>
      </c>
      <c r="Y11" s="36" t="str">
        <f>IF(OR(Table1[[#This Row],[Trip Status]]="Failed",Table1[[#This Row],[Trip Status]]="Delayed"),"Issue","Normal")</f>
        <v>Normal</v>
      </c>
      <c r="Z11" s="2" t="s">
        <v>87</v>
      </c>
      <c r="AA11" s="16" t="s">
        <v>88</v>
      </c>
    </row>
    <row r="12" spans="1:27" x14ac:dyDescent="0.25">
      <c r="A12" s="15" t="s">
        <v>109</v>
      </c>
      <c r="B12" s="5">
        <v>45719</v>
      </c>
      <c r="C12" s="5" t="str">
        <f>TEXT(Table1[[#This Row],[Date]],"mmmm")</f>
        <v>March</v>
      </c>
      <c r="D12" s="2" t="s">
        <v>23</v>
      </c>
      <c r="E12" s="2" t="s">
        <v>24</v>
      </c>
      <c r="F12" s="2" t="s">
        <v>111</v>
      </c>
      <c r="G12" s="2" t="s">
        <v>68</v>
      </c>
      <c r="H12" s="2" t="s">
        <v>112</v>
      </c>
      <c r="I12" s="28">
        <v>0.38541666666666669</v>
      </c>
      <c r="J12" s="28">
        <v>0.45624999999999999</v>
      </c>
      <c r="K12" s="3">
        <v>81</v>
      </c>
      <c r="L12" s="6">
        <v>1.7</v>
      </c>
      <c r="M12" s="2" t="s">
        <v>86</v>
      </c>
      <c r="N12" s="9">
        <v>284</v>
      </c>
      <c r="O12" s="7">
        <v>21.9</v>
      </c>
      <c r="P12" s="36">
        <v>20805</v>
      </c>
      <c r="Q12" s="36">
        <f>Table1[[#This Row],[Fuel Cost (NGN)]]/Table1[[#This Row],[Distance (km)]]</f>
        <v>256.85185185185185</v>
      </c>
      <c r="R12" s="45">
        <v>3.6986301369863015</v>
      </c>
      <c r="S12" s="49">
        <v>94.383802816901408</v>
      </c>
      <c r="T12" s="36">
        <v>5000</v>
      </c>
      <c r="U12" s="36">
        <v>1000</v>
      </c>
      <c r="V12" s="36">
        <v>0</v>
      </c>
      <c r="W12" s="36" t="s">
        <v>428</v>
      </c>
      <c r="X12" s="36">
        <v>26805</v>
      </c>
      <c r="Y12" s="36" t="str">
        <f>IF(OR(Table1[[#This Row],[Trip Status]]="Failed",Table1[[#This Row],[Trip Status]]="Delayed"),"Issue","Normal")</f>
        <v>Issue</v>
      </c>
      <c r="Z12" s="2" t="s">
        <v>31</v>
      </c>
      <c r="AA12" s="16" t="s">
        <v>32</v>
      </c>
    </row>
    <row r="13" spans="1:27" x14ac:dyDescent="0.25">
      <c r="A13" s="15" t="s">
        <v>115</v>
      </c>
      <c r="B13" s="5">
        <v>45779</v>
      </c>
      <c r="C13" s="5" t="str">
        <f>TEXT(Table1[[#This Row],[Date]],"mmmm")</f>
        <v>May</v>
      </c>
      <c r="D13" s="2" t="s">
        <v>117</v>
      </c>
      <c r="E13" s="2" t="s">
        <v>118</v>
      </c>
      <c r="F13" s="2" t="s">
        <v>104</v>
      </c>
      <c r="G13" s="2" t="s">
        <v>39</v>
      </c>
      <c r="H13" s="2" t="s">
        <v>50</v>
      </c>
      <c r="I13" s="28">
        <v>0.28125</v>
      </c>
      <c r="J13" s="28">
        <v>0.66875000000000007</v>
      </c>
      <c r="K13" s="3">
        <v>440</v>
      </c>
      <c r="L13" s="6">
        <v>9.3000000000000007</v>
      </c>
      <c r="M13" s="2" t="s">
        <v>120</v>
      </c>
      <c r="N13" s="9">
        <v>244</v>
      </c>
      <c r="O13" s="7">
        <v>116.3</v>
      </c>
      <c r="P13" s="36">
        <v>110485</v>
      </c>
      <c r="Q13" s="36">
        <f>Table1[[#This Row],[Fuel Cost (NGN)]]/Table1[[#This Row],[Distance (km)]]</f>
        <v>251.10227272727272</v>
      </c>
      <c r="R13" s="45">
        <v>3.7833190025795358</v>
      </c>
      <c r="S13" s="49">
        <v>559.36475409836066</v>
      </c>
      <c r="T13" s="36">
        <v>10000</v>
      </c>
      <c r="U13" s="36">
        <v>1000</v>
      </c>
      <c r="V13" s="36">
        <v>15000</v>
      </c>
      <c r="W13" s="36" t="s">
        <v>427</v>
      </c>
      <c r="X13" s="36">
        <v>136485</v>
      </c>
      <c r="Y13" s="36" t="str">
        <f>IF(OR(Table1[[#This Row],[Trip Status]]="Failed",Table1[[#This Row],[Trip Status]]="Delayed"),"Issue","Normal")</f>
        <v>Normal</v>
      </c>
      <c r="Z13" s="2" t="s">
        <v>87</v>
      </c>
      <c r="AA13" s="16" t="s">
        <v>88</v>
      </c>
    </row>
    <row r="14" spans="1:27" x14ac:dyDescent="0.25">
      <c r="A14" s="15" t="s">
        <v>121</v>
      </c>
      <c r="B14" s="5">
        <v>45897</v>
      </c>
      <c r="C14" s="5" t="str">
        <f>TEXT(Table1[[#This Row],[Date]],"mmmm")</f>
        <v>August</v>
      </c>
      <c r="D14" s="2" t="s">
        <v>123</v>
      </c>
      <c r="E14" s="2" t="s">
        <v>124</v>
      </c>
      <c r="F14" s="2" t="s">
        <v>59</v>
      </c>
      <c r="G14" s="2" t="s">
        <v>92</v>
      </c>
      <c r="H14" s="2" t="s">
        <v>125</v>
      </c>
      <c r="I14" s="28">
        <v>0.20833333333333334</v>
      </c>
      <c r="J14" s="28">
        <v>0.78749999999999998</v>
      </c>
      <c r="K14" s="3">
        <v>729</v>
      </c>
      <c r="L14" s="6">
        <v>13.9</v>
      </c>
      <c r="M14" s="2" t="s">
        <v>128</v>
      </c>
      <c r="N14" s="9">
        <v>304</v>
      </c>
      <c r="O14" s="7">
        <v>178.9</v>
      </c>
      <c r="P14" s="36">
        <v>169955</v>
      </c>
      <c r="Q14" s="36">
        <f>Table1[[#This Row],[Fuel Cost (NGN)]]/Table1[[#This Row],[Distance (km)]]</f>
        <v>233.13443072702333</v>
      </c>
      <c r="R14" s="45">
        <v>4.0749021799888201</v>
      </c>
      <c r="S14" s="49">
        <v>603.47039473684208</v>
      </c>
      <c r="T14" s="36">
        <v>12000</v>
      </c>
      <c r="U14" s="36">
        <v>1500</v>
      </c>
      <c r="V14" s="36">
        <v>0</v>
      </c>
      <c r="W14" s="36" t="s">
        <v>428</v>
      </c>
      <c r="X14" s="36">
        <v>183455</v>
      </c>
      <c r="Y14" s="36" t="str">
        <f>IF(OR(Table1[[#This Row],[Trip Status]]="Failed",Table1[[#This Row],[Trip Status]]="Delayed"),"Issue","Normal")</f>
        <v>Normal</v>
      </c>
      <c r="Z14" s="2" t="s">
        <v>87</v>
      </c>
      <c r="AA14" s="16" t="s">
        <v>88</v>
      </c>
    </row>
    <row r="15" spans="1:27" x14ac:dyDescent="0.25">
      <c r="A15" s="15" t="s">
        <v>129</v>
      </c>
      <c r="B15" s="5">
        <v>45751</v>
      </c>
      <c r="C15" s="5" t="str">
        <f>TEXT(Table1[[#This Row],[Date]],"mmmm")</f>
        <v>April</v>
      </c>
      <c r="D15" s="2" t="s">
        <v>117</v>
      </c>
      <c r="E15" s="2" t="s">
        <v>118</v>
      </c>
      <c r="F15" s="2" t="s">
        <v>25</v>
      </c>
      <c r="G15" s="2" t="s">
        <v>50</v>
      </c>
      <c r="H15" s="2" t="s">
        <v>51</v>
      </c>
      <c r="I15" s="28">
        <v>0.33333333333333331</v>
      </c>
      <c r="J15" s="28">
        <v>0.52083333333333337</v>
      </c>
      <c r="K15" s="3">
        <v>137</v>
      </c>
      <c r="L15" s="6">
        <v>4.5</v>
      </c>
      <c r="M15" s="2" t="s">
        <v>86</v>
      </c>
      <c r="N15" s="9">
        <v>145</v>
      </c>
      <c r="O15" s="7">
        <v>21.8</v>
      </c>
      <c r="P15" s="36">
        <v>20710</v>
      </c>
      <c r="Q15" s="36">
        <f>Table1[[#This Row],[Fuel Cost (NGN)]]/Table1[[#This Row],[Distance (km)]]</f>
        <v>151.16788321167883</v>
      </c>
      <c r="R15" s="45">
        <v>6.28440366972477</v>
      </c>
      <c r="S15" s="49">
        <v>298</v>
      </c>
      <c r="T15" s="36">
        <v>7000</v>
      </c>
      <c r="U15" s="36">
        <v>500</v>
      </c>
      <c r="V15" s="36">
        <v>15000</v>
      </c>
      <c r="W15" s="36" t="s">
        <v>427</v>
      </c>
      <c r="X15" s="36">
        <v>43210</v>
      </c>
      <c r="Y15" s="36" t="str">
        <f>IF(OR(Table1[[#This Row],[Trip Status]]="Failed",Table1[[#This Row],[Trip Status]]="Delayed"),"Issue","Normal")</f>
        <v>Normal</v>
      </c>
      <c r="Z15" s="2" t="s">
        <v>87</v>
      </c>
      <c r="AA15" s="16" t="s">
        <v>88</v>
      </c>
    </row>
    <row r="16" spans="1:27" x14ac:dyDescent="0.25">
      <c r="A16" s="15" t="s">
        <v>133</v>
      </c>
      <c r="B16" s="5">
        <v>45904</v>
      </c>
      <c r="C16" s="5" t="str">
        <f>TEXT(Table1[[#This Row],[Date]],"mmmm")</f>
        <v>September</v>
      </c>
      <c r="D16" s="2" t="s">
        <v>23</v>
      </c>
      <c r="E16" s="2" t="s">
        <v>24</v>
      </c>
      <c r="F16" s="2" t="s">
        <v>49</v>
      </c>
      <c r="G16" s="2" t="s">
        <v>77</v>
      </c>
      <c r="H16" s="2" t="s">
        <v>92</v>
      </c>
      <c r="I16" s="28">
        <v>0.33333333333333331</v>
      </c>
      <c r="J16" s="28">
        <v>0.48333333333333334</v>
      </c>
      <c r="K16" s="3">
        <v>228</v>
      </c>
      <c r="L16" s="6">
        <v>3.6</v>
      </c>
      <c r="M16" s="2" t="s">
        <v>71</v>
      </c>
      <c r="N16" s="9">
        <v>342</v>
      </c>
      <c r="O16" s="7">
        <v>47.8</v>
      </c>
      <c r="P16" s="36">
        <v>45410</v>
      </c>
      <c r="Q16" s="36">
        <f>Table1[[#This Row],[Fuel Cost (NGN)]]/Table1[[#This Row],[Distance (km)]]</f>
        <v>199.16666666666666</v>
      </c>
      <c r="R16" s="45">
        <v>4.7698744769874484</v>
      </c>
      <c r="S16" s="49">
        <v>248.2748538011696</v>
      </c>
      <c r="T16" s="36">
        <v>12000</v>
      </c>
      <c r="U16" s="36">
        <v>2500</v>
      </c>
      <c r="V16" s="36">
        <v>25000</v>
      </c>
      <c r="W16" s="36" t="s">
        <v>427</v>
      </c>
      <c r="X16" s="36">
        <v>84910</v>
      </c>
      <c r="Y16" s="36" t="str">
        <f>IF(OR(Table1[[#This Row],[Trip Status]]="Failed",Table1[[#This Row],[Trip Status]]="Delayed"),"Issue","Normal")</f>
        <v>Normal</v>
      </c>
      <c r="Z16" s="2" t="s">
        <v>87</v>
      </c>
      <c r="AA16" s="16" t="s">
        <v>88</v>
      </c>
    </row>
    <row r="17" spans="1:27" x14ac:dyDescent="0.25">
      <c r="A17" s="15" t="s">
        <v>136</v>
      </c>
      <c r="B17" s="5">
        <v>45755</v>
      </c>
      <c r="C17" s="5" t="str">
        <f>TEXT(Table1[[#This Row],[Date]],"mmmm")</f>
        <v>April</v>
      </c>
      <c r="D17" s="2" t="s">
        <v>117</v>
      </c>
      <c r="E17" s="2" t="s">
        <v>118</v>
      </c>
      <c r="F17" s="2" t="s">
        <v>111</v>
      </c>
      <c r="G17" s="2" t="s">
        <v>92</v>
      </c>
      <c r="H17" s="2" t="s">
        <v>26</v>
      </c>
      <c r="I17" s="28">
        <v>0.22916666666666666</v>
      </c>
      <c r="J17" s="28">
        <v>0.8125</v>
      </c>
      <c r="K17" s="3">
        <v>615</v>
      </c>
      <c r="L17" s="6">
        <v>14</v>
      </c>
      <c r="M17" s="2" t="s">
        <v>62</v>
      </c>
      <c r="N17" s="9">
        <v>593</v>
      </c>
      <c r="O17" s="7">
        <v>154.80000000000001</v>
      </c>
      <c r="P17" s="36">
        <v>147060</v>
      </c>
      <c r="Q17" s="36">
        <f>Table1[[#This Row],[Fuel Cost (NGN)]]/Table1[[#This Row],[Distance (km)]]</f>
        <v>239.1219512195122</v>
      </c>
      <c r="R17" s="45">
        <v>3.9728682170542631</v>
      </c>
      <c r="S17" s="49">
        <v>268.22934232715011</v>
      </c>
      <c r="T17" s="36">
        <v>12000</v>
      </c>
      <c r="U17" s="36">
        <v>0</v>
      </c>
      <c r="V17" s="36">
        <v>0</v>
      </c>
      <c r="W17" s="36" t="s">
        <v>428</v>
      </c>
      <c r="X17" s="36">
        <v>159060</v>
      </c>
      <c r="Y17" s="36" t="str">
        <f>IF(OR(Table1[[#This Row],[Trip Status]]="Failed",Table1[[#This Row],[Trip Status]]="Delayed"),"Issue","Normal")</f>
        <v>Normal</v>
      </c>
      <c r="Z17" s="2" t="s">
        <v>87</v>
      </c>
      <c r="AA17" s="16" t="s">
        <v>88</v>
      </c>
    </row>
    <row r="18" spans="1:27" x14ac:dyDescent="0.25">
      <c r="A18" s="15" t="s">
        <v>140</v>
      </c>
      <c r="B18" s="5">
        <v>45692</v>
      </c>
      <c r="C18" s="5" t="str">
        <f>TEXT(Table1[[#This Row],[Date]],"mmmm")</f>
        <v>February</v>
      </c>
      <c r="D18" s="2" t="s">
        <v>142</v>
      </c>
      <c r="E18" s="2" t="s">
        <v>143</v>
      </c>
      <c r="F18" s="2" t="s">
        <v>49</v>
      </c>
      <c r="G18" s="2" t="s">
        <v>50</v>
      </c>
      <c r="H18" s="2" t="s">
        <v>77</v>
      </c>
      <c r="I18" s="28">
        <v>0.38541666666666669</v>
      </c>
      <c r="J18" s="28">
        <v>0.50208333333333333</v>
      </c>
      <c r="K18" s="3">
        <v>182</v>
      </c>
      <c r="L18" s="6">
        <v>2.8</v>
      </c>
      <c r="M18" s="2" t="s">
        <v>128</v>
      </c>
      <c r="N18" s="9">
        <v>479</v>
      </c>
      <c r="O18" s="7">
        <v>33.299999999999997</v>
      </c>
      <c r="P18" s="36">
        <v>31635</v>
      </c>
      <c r="Q18" s="36">
        <f>Table1[[#This Row],[Fuel Cost (NGN)]]/Table1[[#This Row],[Distance (km)]]</f>
        <v>173.81868131868131</v>
      </c>
      <c r="R18" s="45">
        <v>5.4654654654654662</v>
      </c>
      <c r="S18" s="49">
        <v>116.1482254697286</v>
      </c>
      <c r="T18" s="36">
        <v>12000</v>
      </c>
      <c r="U18" s="36">
        <v>2000</v>
      </c>
      <c r="V18" s="36">
        <v>10000</v>
      </c>
      <c r="W18" s="36" t="s">
        <v>427</v>
      </c>
      <c r="X18" s="36">
        <v>55635</v>
      </c>
      <c r="Y18" s="36" t="str">
        <f>IF(OR(Table1[[#This Row],[Trip Status]]="Failed",Table1[[#This Row],[Trip Status]]="Delayed"),"Issue","Normal")</f>
        <v>Normal</v>
      </c>
      <c r="Z18" s="2" t="s">
        <v>87</v>
      </c>
      <c r="AA18" s="16" t="s">
        <v>88</v>
      </c>
    </row>
    <row r="19" spans="1:27" x14ac:dyDescent="0.25">
      <c r="A19" s="15" t="s">
        <v>145</v>
      </c>
      <c r="B19" s="5">
        <v>45762</v>
      </c>
      <c r="C19" s="5" t="str">
        <f>TEXT(Table1[[#This Row],[Date]],"mmmm")</f>
        <v>April</v>
      </c>
      <c r="D19" s="2" t="s">
        <v>142</v>
      </c>
      <c r="E19" s="2" t="s">
        <v>143</v>
      </c>
      <c r="F19" s="2" t="s">
        <v>59</v>
      </c>
      <c r="G19" s="2" t="s">
        <v>112</v>
      </c>
      <c r="H19" s="2" t="s">
        <v>50</v>
      </c>
      <c r="I19" s="28">
        <v>0.34375</v>
      </c>
      <c r="J19" s="28">
        <v>0.43958333333333338</v>
      </c>
      <c r="K19" s="3">
        <v>128</v>
      </c>
      <c r="L19" s="6">
        <v>2.2999999999999998</v>
      </c>
      <c r="M19" s="2" t="s">
        <v>30</v>
      </c>
      <c r="N19" s="9">
        <v>124</v>
      </c>
      <c r="O19" s="7">
        <v>36.299999999999997</v>
      </c>
      <c r="P19" s="36">
        <v>34485</v>
      </c>
      <c r="Q19" s="36">
        <f>Table1[[#This Row],[Fuel Cost (NGN)]]/Table1[[#This Row],[Distance (km)]]</f>
        <v>269.4140625</v>
      </c>
      <c r="R19" s="45">
        <v>3.5261707988980717</v>
      </c>
      <c r="S19" s="49">
        <v>391.00806451612902</v>
      </c>
      <c r="T19" s="36">
        <v>12000</v>
      </c>
      <c r="U19" s="36">
        <v>2000</v>
      </c>
      <c r="V19" s="36">
        <v>0</v>
      </c>
      <c r="W19" s="36" t="s">
        <v>428</v>
      </c>
      <c r="X19" s="36">
        <v>48485</v>
      </c>
      <c r="Y19" s="36" t="str">
        <f>IF(OR(Table1[[#This Row],[Trip Status]]="Failed",Table1[[#This Row],[Trip Status]]="Delayed"),"Issue","Normal")</f>
        <v>Normal</v>
      </c>
      <c r="Z19" s="2" t="s">
        <v>87</v>
      </c>
      <c r="AA19" s="16" t="s">
        <v>88</v>
      </c>
    </row>
    <row r="20" spans="1:27" x14ac:dyDescent="0.25">
      <c r="A20" s="15" t="s">
        <v>149</v>
      </c>
      <c r="B20" s="5">
        <v>45767</v>
      </c>
      <c r="C20" s="5" t="str">
        <f>TEXT(Table1[[#This Row],[Date]],"mmmm")</f>
        <v>April</v>
      </c>
      <c r="D20" s="2" t="s">
        <v>57</v>
      </c>
      <c r="E20" s="2" t="s">
        <v>58</v>
      </c>
      <c r="F20" s="2" t="s">
        <v>67</v>
      </c>
      <c r="G20" s="2" t="s">
        <v>60</v>
      </c>
      <c r="H20" s="2" t="s">
        <v>112</v>
      </c>
      <c r="I20" s="28">
        <v>0.27083333333333331</v>
      </c>
      <c r="J20" s="28">
        <v>0.39166666666666666</v>
      </c>
      <c r="K20" s="3">
        <v>130</v>
      </c>
      <c r="L20" s="6">
        <v>2.9</v>
      </c>
      <c r="M20" s="2" t="s">
        <v>62</v>
      </c>
      <c r="N20" s="9">
        <v>359</v>
      </c>
      <c r="O20" s="7">
        <v>24.4</v>
      </c>
      <c r="P20" s="36">
        <v>23180</v>
      </c>
      <c r="Q20" s="36">
        <f>Table1[[#This Row],[Fuel Cost (NGN)]]/Table1[[#This Row],[Distance (km)]]</f>
        <v>178.30769230769232</v>
      </c>
      <c r="R20" s="45">
        <v>5.3278688524590168</v>
      </c>
      <c r="S20" s="49">
        <v>209.41504178272982</v>
      </c>
      <c r="T20" s="36">
        <v>12000</v>
      </c>
      <c r="U20" s="36">
        <v>0</v>
      </c>
      <c r="V20" s="36">
        <v>40000</v>
      </c>
      <c r="W20" s="36" t="s">
        <v>427</v>
      </c>
      <c r="X20" s="36">
        <v>75180</v>
      </c>
      <c r="Y20" s="36" t="str">
        <f>IF(OR(Table1[[#This Row],[Trip Status]]="Failed",Table1[[#This Row],[Trip Status]]="Delayed"),"Issue","Normal")</f>
        <v>Normal</v>
      </c>
      <c r="Z20" s="2" t="s">
        <v>87</v>
      </c>
      <c r="AA20" s="16" t="s">
        <v>88</v>
      </c>
    </row>
    <row r="21" spans="1:27" x14ac:dyDescent="0.25">
      <c r="A21" s="15" t="s">
        <v>153</v>
      </c>
      <c r="B21" s="5">
        <v>45711</v>
      </c>
      <c r="C21" s="5" t="str">
        <f>TEXT(Table1[[#This Row],[Date]],"mmmm")</f>
        <v>February</v>
      </c>
      <c r="D21" s="2" t="s">
        <v>155</v>
      </c>
      <c r="E21" s="2" t="s">
        <v>156</v>
      </c>
      <c r="F21" s="2" t="s">
        <v>91</v>
      </c>
      <c r="G21" s="2" t="s">
        <v>27</v>
      </c>
      <c r="H21" s="2" t="s">
        <v>68</v>
      </c>
      <c r="I21" s="28">
        <v>0.38541666666666669</v>
      </c>
      <c r="J21" s="28">
        <v>0.55625000000000002</v>
      </c>
      <c r="K21" s="3">
        <v>169</v>
      </c>
      <c r="L21" s="6">
        <v>4.0999999999999996</v>
      </c>
      <c r="M21" s="2" t="s">
        <v>30</v>
      </c>
      <c r="N21" s="9">
        <v>258</v>
      </c>
      <c r="O21" s="7">
        <v>30.4</v>
      </c>
      <c r="P21" s="36">
        <v>28880</v>
      </c>
      <c r="Q21" s="36">
        <f>Table1[[#This Row],[Fuel Cost (NGN)]]/Table1[[#This Row],[Distance (km)]]</f>
        <v>170.88757396449705</v>
      </c>
      <c r="R21" s="45">
        <v>5.5592105263157894</v>
      </c>
      <c r="S21" s="49">
        <v>247.59689922480621</v>
      </c>
      <c r="T21" s="36">
        <v>8000</v>
      </c>
      <c r="U21" s="36">
        <v>2000</v>
      </c>
      <c r="V21" s="36">
        <v>25000</v>
      </c>
      <c r="W21" s="36" t="s">
        <v>427</v>
      </c>
      <c r="X21" s="36">
        <v>63880</v>
      </c>
      <c r="Y21" s="36" t="str">
        <f>IF(OR(Table1[[#This Row],[Trip Status]]="Failed",Table1[[#This Row],[Trip Status]]="Delayed"),"Issue","Normal")</f>
        <v>Normal</v>
      </c>
      <c r="Z21" s="2" t="s">
        <v>87</v>
      </c>
      <c r="AA21" s="16" t="s">
        <v>88</v>
      </c>
    </row>
    <row r="22" spans="1:27" x14ac:dyDescent="0.25">
      <c r="A22" s="15" t="s">
        <v>158</v>
      </c>
      <c r="B22" s="5">
        <v>45684</v>
      </c>
      <c r="C22" s="5" t="str">
        <f>TEXT(Table1[[#This Row],[Date]],"mmmm")</f>
        <v>January</v>
      </c>
      <c r="D22" s="2" t="s">
        <v>47</v>
      </c>
      <c r="E22" s="2" t="s">
        <v>48</v>
      </c>
      <c r="F22" s="2" t="s">
        <v>104</v>
      </c>
      <c r="G22" s="2" t="s">
        <v>77</v>
      </c>
      <c r="H22" s="2" t="s">
        <v>51</v>
      </c>
      <c r="I22" s="28">
        <v>0.20833333333333334</v>
      </c>
      <c r="J22" s="28">
        <v>0.47500000000000003</v>
      </c>
      <c r="K22" s="3">
        <v>343</v>
      </c>
      <c r="L22" s="6">
        <v>6.4</v>
      </c>
      <c r="M22" s="2" t="s">
        <v>94</v>
      </c>
      <c r="N22" s="9">
        <v>215</v>
      </c>
      <c r="O22" s="7">
        <v>59.9</v>
      </c>
      <c r="P22" s="36">
        <v>56905</v>
      </c>
      <c r="Q22" s="36">
        <f>Table1[[#This Row],[Fuel Cost (NGN)]]/Table1[[#This Row],[Distance (km)]]</f>
        <v>165.90379008746356</v>
      </c>
      <c r="R22" s="45">
        <v>5.7262103505843074</v>
      </c>
      <c r="S22" s="49">
        <v>401.88372093023258</v>
      </c>
      <c r="T22" s="36">
        <v>12000</v>
      </c>
      <c r="U22" s="36">
        <v>2500</v>
      </c>
      <c r="V22" s="36">
        <v>15000</v>
      </c>
      <c r="W22" s="36" t="s">
        <v>427</v>
      </c>
      <c r="X22" s="36">
        <v>86405</v>
      </c>
      <c r="Y22" s="36" t="str">
        <f>IF(OR(Table1[[#This Row],[Trip Status]]="Failed",Table1[[#This Row],[Trip Status]]="Delayed"),"Issue","Normal")</f>
        <v>Issue</v>
      </c>
      <c r="Z22" s="2" t="s">
        <v>31</v>
      </c>
      <c r="AA22" s="16" t="s">
        <v>32</v>
      </c>
    </row>
    <row r="23" spans="1:27" x14ac:dyDescent="0.25">
      <c r="A23" s="15" t="s">
        <v>161</v>
      </c>
      <c r="B23" s="5">
        <v>45662</v>
      </c>
      <c r="C23" s="5" t="str">
        <f>TEXT(Table1[[#This Row],[Date]],"mmmm")</f>
        <v>January</v>
      </c>
      <c r="D23" s="2" t="s">
        <v>47</v>
      </c>
      <c r="E23" s="2" t="s">
        <v>48</v>
      </c>
      <c r="F23" s="2" t="s">
        <v>83</v>
      </c>
      <c r="G23" s="2" t="s">
        <v>84</v>
      </c>
      <c r="H23" s="2" t="s">
        <v>38</v>
      </c>
      <c r="I23" s="28">
        <v>0.375</v>
      </c>
      <c r="J23" s="28">
        <v>0.54583333333333328</v>
      </c>
      <c r="K23" s="3">
        <v>212</v>
      </c>
      <c r="L23" s="6">
        <v>4.0999999999999996</v>
      </c>
      <c r="M23" s="2" t="s">
        <v>54</v>
      </c>
      <c r="N23" s="9">
        <v>490</v>
      </c>
      <c r="O23" s="7">
        <v>54.6</v>
      </c>
      <c r="P23" s="36">
        <v>51870</v>
      </c>
      <c r="Q23" s="36">
        <f>Table1[[#This Row],[Fuel Cost (NGN)]]/Table1[[#This Row],[Distance (km)]]</f>
        <v>244.66981132075472</v>
      </c>
      <c r="R23" s="45">
        <v>3.8827838827838828</v>
      </c>
      <c r="S23" s="49">
        <v>124.22448979591837</v>
      </c>
      <c r="T23" s="36">
        <v>8000</v>
      </c>
      <c r="U23" s="36">
        <v>1000</v>
      </c>
      <c r="V23" s="36">
        <v>0</v>
      </c>
      <c r="W23" s="36" t="s">
        <v>428</v>
      </c>
      <c r="X23" s="36">
        <v>60870</v>
      </c>
      <c r="Y23" s="36" t="str">
        <f>IF(OR(Table1[[#This Row],[Trip Status]]="Failed",Table1[[#This Row],[Trip Status]]="Delayed"),"Issue","Normal")</f>
        <v>Normal</v>
      </c>
      <c r="Z23" s="2" t="s">
        <v>87</v>
      </c>
      <c r="AA23" s="16" t="s">
        <v>88</v>
      </c>
    </row>
    <row r="24" spans="1:27" x14ac:dyDescent="0.25">
      <c r="A24" s="15" t="s">
        <v>165</v>
      </c>
      <c r="B24" s="5">
        <v>45765</v>
      </c>
      <c r="C24" s="5" t="str">
        <f>TEXT(Table1[[#This Row],[Date]],"mmmm")</f>
        <v>April</v>
      </c>
      <c r="D24" s="2" t="s">
        <v>142</v>
      </c>
      <c r="E24" s="2" t="s">
        <v>143</v>
      </c>
      <c r="F24" s="2" t="s">
        <v>111</v>
      </c>
      <c r="G24" s="2" t="s">
        <v>125</v>
      </c>
      <c r="H24" s="2" t="s">
        <v>68</v>
      </c>
      <c r="I24" s="28">
        <v>0.40625</v>
      </c>
      <c r="J24" s="28">
        <v>0.71875</v>
      </c>
      <c r="K24" s="3">
        <v>422</v>
      </c>
      <c r="L24" s="6">
        <v>7.5</v>
      </c>
      <c r="M24" s="2" t="s">
        <v>108</v>
      </c>
      <c r="N24" s="9">
        <v>216</v>
      </c>
      <c r="O24" s="7">
        <v>65.599999999999994</v>
      </c>
      <c r="P24" s="36">
        <v>62320</v>
      </c>
      <c r="Q24" s="36">
        <f>Table1[[#This Row],[Fuel Cost (NGN)]]/Table1[[#This Row],[Distance (km)]]</f>
        <v>147.67772511848341</v>
      </c>
      <c r="R24" s="45">
        <v>6.4329268292682933</v>
      </c>
      <c r="S24" s="49">
        <v>327.87037037037038</v>
      </c>
      <c r="T24" s="36">
        <v>7000</v>
      </c>
      <c r="U24" s="36">
        <v>1500</v>
      </c>
      <c r="V24" s="36">
        <v>0</v>
      </c>
      <c r="W24" s="36" t="s">
        <v>428</v>
      </c>
      <c r="X24" s="36">
        <v>70820</v>
      </c>
      <c r="Y24" s="36" t="str">
        <f>IF(OR(Table1[[#This Row],[Trip Status]]="Failed",Table1[[#This Row],[Trip Status]]="Delayed"),"Issue","Normal")</f>
        <v>Normal</v>
      </c>
      <c r="Z24" s="2" t="s">
        <v>87</v>
      </c>
      <c r="AA24" s="16" t="s">
        <v>88</v>
      </c>
    </row>
    <row r="25" spans="1:27" x14ac:dyDescent="0.25">
      <c r="A25" s="15" t="s">
        <v>169</v>
      </c>
      <c r="B25" s="5">
        <v>45828</v>
      </c>
      <c r="C25" s="5" t="str">
        <f>TEXT(Table1[[#This Row],[Date]],"mmmm")</f>
        <v>June</v>
      </c>
      <c r="D25" s="2" t="s">
        <v>35</v>
      </c>
      <c r="E25" s="2" t="s">
        <v>36</v>
      </c>
      <c r="F25" s="2" t="s">
        <v>171</v>
      </c>
      <c r="G25" s="2" t="s">
        <v>77</v>
      </c>
      <c r="H25" s="2" t="s">
        <v>172</v>
      </c>
      <c r="I25" s="28">
        <v>0.27083333333333331</v>
      </c>
      <c r="J25" s="28">
        <v>0.95416666666666661</v>
      </c>
      <c r="K25" s="3">
        <v>745</v>
      </c>
      <c r="L25" s="6">
        <v>16.399999999999999</v>
      </c>
      <c r="M25" s="2" t="s">
        <v>120</v>
      </c>
      <c r="N25" s="9">
        <v>89</v>
      </c>
      <c r="O25" s="7">
        <v>122.6</v>
      </c>
      <c r="P25" s="36">
        <v>116470</v>
      </c>
      <c r="Q25" s="36">
        <f>Table1[[#This Row],[Fuel Cost (NGN)]]/Table1[[#This Row],[Distance (km)]]</f>
        <v>156.33557046979865</v>
      </c>
      <c r="R25" s="45">
        <v>6.076672104404568</v>
      </c>
      <c r="S25" s="49">
        <v>1673.8202247191011</v>
      </c>
      <c r="T25" s="36">
        <v>7000</v>
      </c>
      <c r="U25" s="36">
        <v>500</v>
      </c>
      <c r="V25" s="36">
        <v>25000</v>
      </c>
      <c r="W25" s="36" t="s">
        <v>427</v>
      </c>
      <c r="X25" s="36">
        <v>148970</v>
      </c>
      <c r="Y25" s="36" t="str">
        <f>IF(OR(Table1[[#This Row],[Trip Status]]="Failed",Table1[[#This Row],[Trip Status]]="Delayed"),"Issue","Normal")</f>
        <v>Normal</v>
      </c>
      <c r="Z25" s="2" t="s">
        <v>87</v>
      </c>
      <c r="AA25" s="16" t="s">
        <v>88</v>
      </c>
    </row>
    <row r="26" spans="1:27" x14ac:dyDescent="0.25">
      <c r="A26" s="15" t="s">
        <v>174</v>
      </c>
      <c r="B26" s="5">
        <v>45814</v>
      </c>
      <c r="C26" s="5" t="str">
        <f>TEXT(Table1[[#This Row],[Date]],"mmmm")</f>
        <v>June</v>
      </c>
      <c r="D26" s="2" t="s">
        <v>123</v>
      </c>
      <c r="E26" s="2" t="s">
        <v>124</v>
      </c>
      <c r="F26" s="2" t="s">
        <v>176</v>
      </c>
      <c r="G26" s="2" t="s">
        <v>51</v>
      </c>
      <c r="H26" s="2" t="s">
        <v>50</v>
      </c>
      <c r="I26" s="28">
        <v>0.21875</v>
      </c>
      <c r="J26" s="28">
        <v>0.44791666666666669</v>
      </c>
      <c r="K26" s="3">
        <v>288</v>
      </c>
      <c r="L26" s="6">
        <v>5.5</v>
      </c>
      <c r="M26" s="2" t="s">
        <v>128</v>
      </c>
      <c r="N26" s="9">
        <v>335</v>
      </c>
      <c r="O26" s="7">
        <v>63.2</v>
      </c>
      <c r="P26" s="36">
        <v>60040</v>
      </c>
      <c r="Q26" s="36">
        <f>Table1[[#This Row],[Fuel Cost (NGN)]]/Table1[[#This Row],[Distance (km)]]</f>
        <v>208.47222222222223</v>
      </c>
      <c r="R26" s="45">
        <v>4.5569620253164551</v>
      </c>
      <c r="S26" s="49">
        <v>338.92537313432837</v>
      </c>
      <c r="T26" s="36">
        <v>12000</v>
      </c>
      <c r="U26" s="36">
        <v>1500</v>
      </c>
      <c r="V26" s="36">
        <v>40000</v>
      </c>
      <c r="W26" s="36" t="s">
        <v>427</v>
      </c>
      <c r="X26" s="36">
        <v>113540</v>
      </c>
      <c r="Y26" s="36" t="str">
        <f>IF(OR(Table1[[#This Row],[Trip Status]]="Failed",Table1[[#This Row],[Trip Status]]="Delayed"),"Issue","Normal")</f>
        <v>Normal</v>
      </c>
      <c r="Z26" s="2" t="s">
        <v>87</v>
      </c>
      <c r="AA26" s="16" t="s">
        <v>88</v>
      </c>
    </row>
    <row r="27" spans="1:27" x14ac:dyDescent="0.25">
      <c r="A27" s="15" t="s">
        <v>179</v>
      </c>
      <c r="B27" s="5">
        <v>45672</v>
      </c>
      <c r="C27" s="5" t="str">
        <f>TEXT(Table1[[#This Row],[Date]],"mmmm")</f>
        <v>January</v>
      </c>
      <c r="D27" s="2" t="s">
        <v>47</v>
      </c>
      <c r="E27" s="2" t="s">
        <v>48</v>
      </c>
      <c r="F27" s="2" t="s">
        <v>171</v>
      </c>
      <c r="G27" s="2" t="s">
        <v>27</v>
      </c>
      <c r="H27" s="2" t="s">
        <v>60</v>
      </c>
      <c r="I27" s="28">
        <v>0.29166666666666669</v>
      </c>
      <c r="J27" s="28">
        <v>0.8833333333333333</v>
      </c>
      <c r="K27" s="3">
        <v>654</v>
      </c>
      <c r="L27" s="6">
        <v>14.2</v>
      </c>
      <c r="M27" s="2" t="s">
        <v>30</v>
      </c>
      <c r="N27" s="9">
        <v>496</v>
      </c>
      <c r="O27" s="7">
        <v>123</v>
      </c>
      <c r="P27" s="36">
        <v>116850</v>
      </c>
      <c r="Q27" s="36">
        <f>Table1[[#This Row],[Fuel Cost (NGN)]]/Table1[[#This Row],[Distance (km)]]</f>
        <v>178.6697247706422</v>
      </c>
      <c r="R27" s="45">
        <v>5.3170731707317076</v>
      </c>
      <c r="S27" s="49">
        <v>290.02016129032256</v>
      </c>
      <c r="T27" s="36">
        <v>12000</v>
      </c>
      <c r="U27" s="36">
        <v>0</v>
      </c>
      <c r="V27" s="36">
        <v>15000</v>
      </c>
      <c r="W27" s="36" t="s">
        <v>427</v>
      </c>
      <c r="X27" s="36">
        <v>143850</v>
      </c>
      <c r="Y27" s="36" t="str">
        <f>IF(OR(Table1[[#This Row],[Trip Status]]="Failed",Table1[[#This Row],[Trip Status]]="Delayed"),"Issue","Normal")</f>
        <v>Issue</v>
      </c>
      <c r="Z27" s="2" t="s">
        <v>31</v>
      </c>
      <c r="AA27" s="16" t="s">
        <v>32</v>
      </c>
    </row>
    <row r="28" spans="1:27" x14ac:dyDescent="0.25">
      <c r="A28" s="15" t="s">
        <v>183</v>
      </c>
      <c r="B28" s="5">
        <v>45755</v>
      </c>
      <c r="C28" s="5" t="str">
        <f>TEXT(Table1[[#This Row],[Date]],"mmmm")</f>
        <v>April</v>
      </c>
      <c r="D28" s="2" t="s">
        <v>117</v>
      </c>
      <c r="E28" s="2" t="s">
        <v>118</v>
      </c>
      <c r="F28" s="2" t="s">
        <v>37</v>
      </c>
      <c r="G28" s="2" t="s">
        <v>38</v>
      </c>
      <c r="H28" s="2" t="s">
        <v>77</v>
      </c>
      <c r="I28" s="28">
        <v>0.38541666666666669</v>
      </c>
      <c r="J28" s="28">
        <v>0.45624999999999999</v>
      </c>
      <c r="K28" s="3">
        <v>61</v>
      </c>
      <c r="L28" s="6">
        <v>1.7</v>
      </c>
      <c r="M28" s="2" t="s">
        <v>30</v>
      </c>
      <c r="N28" s="9">
        <v>371</v>
      </c>
      <c r="O28" s="7">
        <v>11.1</v>
      </c>
      <c r="P28" s="36">
        <v>10545</v>
      </c>
      <c r="Q28" s="36">
        <f>Table1[[#This Row],[Fuel Cost (NGN)]]/Table1[[#This Row],[Distance (km)]]</f>
        <v>172.86885245901638</v>
      </c>
      <c r="R28" s="45">
        <v>5.4954954954954953</v>
      </c>
      <c r="S28" s="49">
        <v>62.115902964959567</v>
      </c>
      <c r="T28" s="36">
        <v>5000</v>
      </c>
      <c r="U28" s="36">
        <v>2500</v>
      </c>
      <c r="V28" s="36">
        <v>5000</v>
      </c>
      <c r="W28" s="36" t="s">
        <v>427</v>
      </c>
      <c r="X28" s="36">
        <v>23045</v>
      </c>
      <c r="Y28" s="36" t="str">
        <f>IF(OR(Table1[[#This Row],[Trip Status]]="Failed",Table1[[#This Row],[Trip Status]]="Delayed"),"Issue","Normal")</f>
        <v>Issue</v>
      </c>
      <c r="Z28" s="2" t="s">
        <v>31</v>
      </c>
      <c r="AA28" s="16" t="s">
        <v>32</v>
      </c>
    </row>
    <row r="29" spans="1:27" x14ac:dyDescent="0.25">
      <c r="A29" s="15" t="s">
        <v>184</v>
      </c>
      <c r="B29" s="5">
        <v>45816</v>
      </c>
      <c r="C29" s="5" t="str">
        <f>TEXT(Table1[[#This Row],[Date]],"mmmm")</f>
        <v>June</v>
      </c>
      <c r="D29" s="2" t="s">
        <v>142</v>
      </c>
      <c r="E29" s="2" t="s">
        <v>143</v>
      </c>
      <c r="F29" s="2" t="s">
        <v>186</v>
      </c>
      <c r="G29" s="2" t="s">
        <v>112</v>
      </c>
      <c r="H29" s="2" t="s">
        <v>77</v>
      </c>
      <c r="I29" s="28">
        <v>0.30208333333333331</v>
      </c>
      <c r="J29" s="28">
        <v>0.99791666666666667</v>
      </c>
      <c r="K29" s="3">
        <v>773</v>
      </c>
      <c r="L29" s="6">
        <v>16.7</v>
      </c>
      <c r="M29" s="2" t="s">
        <v>120</v>
      </c>
      <c r="N29" s="9">
        <v>228</v>
      </c>
      <c r="O29" s="7">
        <v>144.6</v>
      </c>
      <c r="P29" s="36">
        <v>137370</v>
      </c>
      <c r="Q29" s="36">
        <f>Table1[[#This Row],[Fuel Cost (NGN)]]/Table1[[#This Row],[Distance (km)]]</f>
        <v>177.71021992238033</v>
      </c>
      <c r="R29" s="45">
        <v>5.3457814661134169</v>
      </c>
      <c r="S29" s="49">
        <v>819.60526315789468</v>
      </c>
      <c r="T29" s="36">
        <v>8000</v>
      </c>
      <c r="U29" s="36">
        <v>1500</v>
      </c>
      <c r="V29" s="36">
        <v>40000</v>
      </c>
      <c r="W29" s="36" t="s">
        <v>427</v>
      </c>
      <c r="X29" s="36">
        <v>186870</v>
      </c>
      <c r="Y29" s="36" t="str">
        <f>IF(OR(Table1[[#This Row],[Trip Status]]="Failed",Table1[[#This Row],[Trip Status]]="Delayed"),"Issue","Normal")</f>
        <v>Normal</v>
      </c>
      <c r="Z29" s="2" t="s">
        <v>43</v>
      </c>
      <c r="AA29" s="16" t="s">
        <v>44</v>
      </c>
    </row>
    <row r="30" spans="1:27" x14ac:dyDescent="0.25">
      <c r="A30" s="15" t="s">
        <v>188</v>
      </c>
      <c r="B30" s="5">
        <v>45658</v>
      </c>
      <c r="C30" s="5" t="str">
        <f>TEXT(Table1[[#This Row],[Date]],"mmmm")</f>
        <v>January</v>
      </c>
      <c r="D30" s="2" t="s">
        <v>117</v>
      </c>
      <c r="E30" s="2" t="s">
        <v>118</v>
      </c>
      <c r="F30" s="2" t="s">
        <v>67</v>
      </c>
      <c r="G30" s="2" t="s">
        <v>50</v>
      </c>
      <c r="H30" s="2" t="s">
        <v>77</v>
      </c>
      <c r="I30" s="28">
        <v>0.39583333333333331</v>
      </c>
      <c r="J30" s="28">
        <v>0.91249999999999998</v>
      </c>
      <c r="K30" s="3">
        <v>653</v>
      </c>
      <c r="L30" s="6">
        <v>12.4</v>
      </c>
      <c r="M30" s="2" t="s">
        <v>108</v>
      </c>
      <c r="N30" s="9">
        <v>573</v>
      </c>
      <c r="O30" s="7">
        <v>132.69999999999999</v>
      </c>
      <c r="P30" s="36">
        <v>126065</v>
      </c>
      <c r="Q30" s="36">
        <f>Table1[[#This Row],[Fuel Cost (NGN)]]/Table1[[#This Row],[Distance (km)]]</f>
        <v>193.0551301684533</v>
      </c>
      <c r="R30" s="45">
        <v>4.9208741522230603</v>
      </c>
      <c r="S30" s="49">
        <v>236.58813263525306</v>
      </c>
      <c r="T30" s="36">
        <v>7000</v>
      </c>
      <c r="U30" s="36">
        <v>2500</v>
      </c>
      <c r="V30" s="36">
        <v>0</v>
      </c>
      <c r="W30" s="36" t="s">
        <v>428</v>
      </c>
      <c r="X30" s="36">
        <v>135565</v>
      </c>
      <c r="Y30" s="36" t="str">
        <f>IF(OR(Table1[[#This Row],[Trip Status]]="Failed",Table1[[#This Row],[Trip Status]]="Delayed"),"Issue","Normal")</f>
        <v>Normal</v>
      </c>
      <c r="Z30" s="2" t="s">
        <v>87</v>
      </c>
      <c r="AA30" s="16" t="s">
        <v>88</v>
      </c>
    </row>
    <row r="31" spans="1:27" x14ac:dyDescent="0.25">
      <c r="A31" s="15" t="s">
        <v>191</v>
      </c>
      <c r="B31" s="5">
        <v>45921</v>
      </c>
      <c r="C31" s="5" t="str">
        <f>TEXT(Table1[[#This Row],[Date]],"mmmm")</f>
        <v>September</v>
      </c>
      <c r="D31" s="2" t="s">
        <v>142</v>
      </c>
      <c r="E31" s="2" t="s">
        <v>143</v>
      </c>
      <c r="F31" s="2" t="s">
        <v>104</v>
      </c>
      <c r="G31" s="2" t="s">
        <v>26</v>
      </c>
      <c r="H31" s="2" t="s">
        <v>112</v>
      </c>
      <c r="I31" s="28">
        <v>0.27083333333333331</v>
      </c>
      <c r="J31" s="28">
        <v>0.39583333333333331</v>
      </c>
      <c r="K31" s="3">
        <v>155</v>
      </c>
      <c r="L31" s="6">
        <v>3</v>
      </c>
      <c r="M31" s="2" t="s">
        <v>86</v>
      </c>
      <c r="N31" s="9">
        <v>97</v>
      </c>
      <c r="O31" s="7">
        <v>36.6</v>
      </c>
      <c r="P31" s="36">
        <v>34770</v>
      </c>
      <c r="Q31" s="36">
        <f>Table1[[#This Row],[Fuel Cost (NGN)]]/Table1[[#This Row],[Distance (km)]]</f>
        <v>224.32258064516128</v>
      </c>
      <c r="R31" s="45">
        <v>4.2349726775956285</v>
      </c>
      <c r="S31" s="49">
        <v>482.16494845360825</v>
      </c>
      <c r="T31" s="36">
        <v>10000</v>
      </c>
      <c r="U31" s="36">
        <v>2000</v>
      </c>
      <c r="V31" s="36">
        <v>0</v>
      </c>
      <c r="W31" s="36" t="s">
        <v>428</v>
      </c>
      <c r="X31" s="36">
        <v>46770</v>
      </c>
      <c r="Y31" s="36" t="str">
        <f>IF(OR(Table1[[#This Row],[Trip Status]]="Failed",Table1[[#This Row],[Trip Status]]="Delayed"),"Issue","Normal")</f>
        <v>Normal</v>
      </c>
      <c r="Z31" s="2" t="s">
        <v>87</v>
      </c>
      <c r="AA31" s="16" t="s">
        <v>88</v>
      </c>
    </row>
    <row r="32" spans="1:27" x14ac:dyDescent="0.25">
      <c r="A32" s="15" t="s">
        <v>193</v>
      </c>
      <c r="B32" s="5">
        <v>45870</v>
      </c>
      <c r="C32" s="5" t="str">
        <f>TEXT(Table1[[#This Row],[Date]],"mmmm")</f>
        <v>August</v>
      </c>
      <c r="D32" s="2" t="s">
        <v>155</v>
      </c>
      <c r="E32" s="2" t="s">
        <v>156</v>
      </c>
      <c r="F32" s="2" t="s">
        <v>104</v>
      </c>
      <c r="G32" s="2" t="s">
        <v>26</v>
      </c>
      <c r="H32" s="2" t="s">
        <v>50</v>
      </c>
      <c r="I32" s="28">
        <v>0.36458333333333331</v>
      </c>
      <c r="J32" s="28">
        <v>0.60625000000000007</v>
      </c>
      <c r="K32" s="3">
        <v>320</v>
      </c>
      <c r="L32" s="6">
        <v>5.8</v>
      </c>
      <c r="M32" s="2" t="s">
        <v>86</v>
      </c>
      <c r="N32" s="9">
        <v>159</v>
      </c>
      <c r="O32" s="7">
        <v>54.8</v>
      </c>
      <c r="P32" s="36">
        <v>52060</v>
      </c>
      <c r="Q32" s="36">
        <f>Table1[[#This Row],[Fuel Cost (NGN)]]/Table1[[#This Row],[Distance (km)]]</f>
        <v>162.6875</v>
      </c>
      <c r="R32" s="45">
        <v>5.8394160583941606</v>
      </c>
      <c r="S32" s="49">
        <v>626.1635220125786</v>
      </c>
      <c r="T32" s="36">
        <v>7000</v>
      </c>
      <c r="U32" s="36">
        <v>500</v>
      </c>
      <c r="V32" s="36">
        <v>40000</v>
      </c>
      <c r="W32" s="36" t="s">
        <v>427</v>
      </c>
      <c r="X32" s="36">
        <v>99560</v>
      </c>
      <c r="Y32" s="36" t="str">
        <f>IF(OR(Table1[[#This Row],[Trip Status]]="Failed",Table1[[#This Row],[Trip Status]]="Delayed"),"Issue","Normal")</f>
        <v>Normal</v>
      </c>
      <c r="Z32" s="2" t="s">
        <v>87</v>
      </c>
      <c r="AA32" s="16" t="s">
        <v>88</v>
      </c>
    </row>
    <row r="33" spans="1:27" x14ac:dyDescent="0.25">
      <c r="A33" s="15" t="s">
        <v>197</v>
      </c>
      <c r="B33" s="5">
        <v>45683</v>
      </c>
      <c r="C33" s="5" t="str">
        <f>TEXT(Table1[[#This Row],[Date]],"mmmm")</f>
        <v>January</v>
      </c>
      <c r="D33" s="2" t="s">
        <v>57</v>
      </c>
      <c r="E33" s="2" t="s">
        <v>58</v>
      </c>
      <c r="F33" s="2" t="s">
        <v>111</v>
      </c>
      <c r="G33" s="2" t="s">
        <v>84</v>
      </c>
      <c r="H33" s="2" t="s">
        <v>51</v>
      </c>
      <c r="I33" s="28">
        <v>0.34375</v>
      </c>
      <c r="J33" s="28">
        <v>0.50624999999999998</v>
      </c>
      <c r="K33" s="3">
        <v>184</v>
      </c>
      <c r="L33" s="6">
        <v>3.9</v>
      </c>
      <c r="M33" s="2" t="s">
        <v>62</v>
      </c>
      <c r="N33" s="9">
        <v>374</v>
      </c>
      <c r="O33" s="7">
        <v>29</v>
      </c>
      <c r="P33" s="36">
        <v>27550</v>
      </c>
      <c r="Q33" s="36">
        <f>Table1[[#This Row],[Fuel Cost (NGN)]]/Table1[[#This Row],[Distance (km)]]</f>
        <v>149.72826086956522</v>
      </c>
      <c r="R33" s="45">
        <v>6.3448275862068968</v>
      </c>
      <c r="S33" s="49">
        <v>212.70053475935828</v>
      </c>
      <c r="T33" s="36">
        <v>10000</v>
      </c>
      <c r="U33" s="36">
        <v>2000</v>
      </c>
      <c r="V33" s="36">
        <v>40000</v>
      </c>
      <c r="W33" s="36" t="s">
        <v>427</v>
      </c>
      <c r="X33" s="36">
        <v>79550</v>
      </c>
      <c r="Y33" s="36" t="str">
        <f>IF(OR(Table1[[#This Row],[Trip Status]]="Failed",Table1[[#This Row],[Trip Status]]="Delayed"),"Issue","Normal")</f>
        <v>Normal</v>
      </c>
      <c r="Z33" s="2" t="s">
        <v>87</v>
      </c>
      <c r="AA33" s="16" t="s">
        <v>88</v>
      </c>
    </row>
    <row r="34" spans="1:27" x14ac:dyDescent="0.25">
      <c r="A34" s="15" t="s">
        <v>200</v>
      </c>
      <c r="B34" s="5">
        <v>45886</v>
      </c>
      <c r="C34" s="5" t="str">
        <f>TEXT(Table1[[#This Row],[Date]],"mmmm")</f>
        <v>August</v>
      </c>
      <c r="D34" s="2" t="s">
        <v>155</v>
      </c>
      <c r="E34" s="2" t="s">
        <v>156</v>
      </c>
      <c r="F34" s="2" t="s">
        <v>91</v>
      </c>
      <c r="G34" s="2" t="s">
        <v>38</v>
      </c>
      <c r="H34" s="2" t="s">
        <v>51</v>
      </c>
      <c r="I34" s="28">
        <v>0.35416666666666669</v>
      </c>
      <c r="J34" s="28">
        <v>0.78333333333333333</v>
      </c>
      <c r="K34" s="3">
        <v>546</v>
      </c>
      <c r="L34" s="6">
        <v>10.3</v>
      </c>
      <c r="M34" s="2" t="s">
        <v>94</v>
      </c>
      <c r="N34" s="9">
        <v>583</v>
      </c>
      <c r="O34" s="7">
        <v>110.2</v>
      </c>
      <c r="P34" s="36">
        <v>104690</v>
      </c>
      <c r="Q34" s="36">
        <f>Table1[[#This Row],[Fuel Cost (NGN)]]/Table1[[#This Row],[Distance (km)]]</f>
        <v>191.73992673992674</v>
      </c>
      <c r="R34" s="45">
        <v>4.954627949183303</v>
      </c>
      <c r="S34" s="49">
        <v>236.17495711835335</v>
      </c>
      <c r="T34" s="36">
        <v>7000</v>
      </c>
      <c r="U34" s="36">
        <v>1000</v>
      </c>
      <c r="V34" s="36">
        <v>25000</v>
      </c>
      <c r="W34" s="36" t="s">
        <v>427</v>
      </c>
      <c r="X34" s="36">
        <v>137690</v>
      </c>
      <c r="Y34" s="36" t="str">
        <f>IF(OR(Table1[[#This Row],[Trip Status]]="Failed",Table1[[#This Row],[Trip Status]]="Delayed"),"Issue","Normal")</f>
        <v>Normal</v>
      </c>
      <c r="Z34" s="2" t="s">
        <v>87</v>
      </c>
      <c r="AA34" s="16" t="s">
        <v>88</v>
      </c>
    </row>
    <row r="35" spans="1:27" x14ac:dyDescent="0.25">
      <c r="A35" s="15" t="s">
        <v>203</v>
      </c>
      <c r="B35" s="5">
        <v>45804</v>
      </c>
      <c r="C35" s="5" t="str">
        <f>TEXT(Table1[[#This Row],[Date]],"mmmm")</f>
        <v>May</v>
      </c>
      <c r="D35" s="2" t="s">
        <v>23</v>
      </c>
      <c r="E35" s="2" t="s">
        <v>24</v>
      </c>
      <c r="F35" s="2" t="s">
        <v>67</v>
      </c>
      <c r="G35" s="2" t="s">
        <v>112</v>
      </c>
      <c r="H35" s="2" t="s">
        <v>84</v>
      </c>
      <c r="I35" s="28">
        <v>0.21875</v>
      </c>
      <c r="J35" s="28">
        <v>0.76041666666666663</v>
      </c>
      <c r="K35" s="3">
        <v>613</v>
      </c>
      <c r="L35" s="6">
        <v>13</v>
      </c>
      <c r="M35" s="2" t="s">
        <v>54</v>
      </c>
      <c r="N35" s="9">
        <v>269</v>
      </c>
      <c r="O35" s="7">
        <v>166</v>
      </c>
      <c r="P35" s="36">
        <v>157700</v>
      </c>
      <c r="Q35" s="36">
        <f>Table1[[#This Row],[Fuel Cost (NGN)]]/Table1[[#This Row],[Distance (km)]]</f>
        <v>257.25938009787927</v>
      </c>
      <c r="R35" s="45">
        <v>3.6927710843373496</v>
      </c>
      <c r="S35" s="49">
        <v>775.83643122676585</v>
      </c>
      <c r="T35" s="36">
        <v>10000</v>
      </c>
      <c r="U35" s="36">
        <v>1000</v>
      </c>
      <c r="V35" s="36">
        <v>40000</v>
      </c>
      <c r="W35" s="36" t="s">
        <v>427</v>
      </c>
      <c r="X35" s="36">
        <v>208700</v>
      </c>
      <c r="Y35" s="36" t="str">
        <f>IF(OR(Table1[[#This Row],[Trip Status]]="Failed",Table1[[#This Row],[Trip Status]]="Delayed"),"Issue","Normal")</f>
        <v>Normal</v>
      </c>
      <c r="Z35" s="2" t="s">
        <v>87</v>
      </c>
      <c r="AA35" s="16" t="s">
        <v>88</v>
      </c>
    </row>
    <row r="36" spans="1:27" x14ac:dyDescent="0.25">
      <c r="A36" s="15" t="s">
        <v>206</v>
      </c>
      <c r="B36" s="5">
        <v>45870</v>
      </c>
      <c r="C36" s="5" t="str">
        <f>TEXT(Table1[[#This Row],[Date]],"mmmm")</f>
        <v>August</v>
      </c>
      <c r="D36" s="2" t="s">
        <v>207</v>
      </c>
      <c r="E36" s="2" t="s">
        <v>208</v>
      </c>
      <c r="F36" s="2" t="s">
        <v>111</v>
      </c>
      <c r="G36" s="2" t="s">
        <v>51</v>
      </c>
      <c r="H36" s="2" t="s">
        <v>77</v>
      </c>
      <c r="I36" s="28">
        <v>0.375</v>
      </c>
      <c r="J36" s="28">
        <v>0.72499999999999998</v>
      </c>
      <c r="K36" s="3">
        <v>458</v>
      </c>
      <c r="L36" s="6">
        <v>8.4</v>
      </c>
      <c r="M36" s="2" t="s">
        <v>120</v>
      </c>
      <c r="N36" s="9">
        <v>538</v>
      </c>
      <c r="O36" s="7">
        <v>130.19999999999999</v>
      </c>
      <c r="P36" s="36">
        <v>123690</v>
      </c>
      <c r="Q36" s="36">
        <f>Table1[[#This Row],[Fuel Cost (NGN)]]/Table1[[#This Row],[Distance (km)]]</f>
        <v>270.06550218340612</v>
      </c>
      <c r="R36" s="45">
        <v>3.5176651305683566</v>
      </c>
      <c r="S36" s="49">
        <v>274.51672862453529</v>
      </c>
      <c r="T36" s="36">
        <v>8000</v>
      </c>
      <c r="U36" s="36">
        <v>1000</v>
      </c>
      <c r="V36" s="36">
        <v>15000</v>
      </c>
      <c r="W36" s="36" t="s">
        <v>427</v>
      </c>
      <c r="X36" s="36">
        <v>147690</v>
      </c>
      <c r="Y36" s="36" t="str">
        <f>IF(OR(Table1[[#This Row],[Trip Status]]="Failed",Table1[[#This Row],[Trip Status]]="Delayed"),"Issue","Normal")</f>
        <v>Normal</v>
      </c>
      <c r="Z36" s="2" t="s">
        <v>43</v>
      </c>
      <c r="AA36" s="16" t="s">
        <v>44</v>
      </c>
    </row>
    <row r="37" spans="1:27" x14ac:dyDescent="0.25">
      <c r="A37" s="15" t="s">
        <v>210</v>
      </c>
      <c r="B37" s="5">
        <v>45872</v>
      </c>
      <c r="C37" s="5" t="str">
        <f>TEXT(Table1[[#This Row],[Date]],"mmmm")</f>
        <v>August</v>
      </c>
      <c r="D37" s="2" t="s">
        <v>57</v>
      </c>
      <c r="E37" s="2" t="s">
        <v>58</v>
      </c>
      <c r="F37" s="2" t="s">
        <v>59</v>
      </c>
      <c r="G37" s="2" t="s">
        <v>38</v>
      </c>
      <c r="H37" s="2" t="s">
        <v>105</v>
      </c>
      <c r="I37" s="28">
        <v>0.28125</v>
      </c>
      <c r="J37" s="28">
        <v>0.86875000000000002</v>
      </c>
      <c r="K37" s="3">
        <v>677</v>
      </c>
      <c r="L37" s="6">
        <v>14.1</v>
      </c>
      <c r="M37" s="2" t="s">
        <v>86</v>
      </c>
      <c r="N37" s="9">
        <v>448</v>
      </c>
      <c r="O37" s="7">
        <v>150.19999999999999</v>
      </c>
      <c r="P37" s="36">
        <v>142690</v>
      </c>
      <c r="Q37" s="36">
        <f>Table1[[#This Row],[Fuel Cost (NGN)]]/Table1[[#This Row],[Distance (km)]]</f>
        <v>210.76809453471196</v>
      </c>
      <c r="R37" s="45">
        <v>4.5073235685752335</v>
      </c>
      <c r="S37" s="49">
        <v>346.40625</v>
      </c>
      <c r="T37" s="36">
        <v>10000</v>
      </c>
      <c r="U37" s="36">
        <v>2500</v>
      </c>
      <c r="V37" s="36">
        <v>0</v>
      </c>
      <c r="W37" s="36" t="s">
        <v>428</v>
      </c>
      <c r="X37" s="36">
        <v>155190</v>
      </c>
      <c r="Y37" s="36" t="str">
        <f>IF(OR(Table1[[#This Row],[Trip Status]]="Failed",Table1[[#This Row],[Trip Status]]="Delayed"),"Issue","Normal")</f>
        <v>Normal</v>
      </c>
      <c r="Z37" s="2" t="s">
        <v>43</v>
      </c>
      <c r="AA37" s="16" t="s">
        <v>44</v>
      </c>
    </row>
    <row r="38" spans="1:27" x14ac:dyDescent="0.25">
      <c r="A38" s="15" t="s">
        <v>212</v>
      </c>
      <c r="B38" s="5">
        <v>45897</v>
      </c>
      <c r="C38" s="5" t="str">
        <f>TEXT(Table1[[#This Row],[Date]],"mmmm")</f>
        <v>August</v>
      </c>
      <c r="D38" s="2" t="s">
        <v>155</v>
      </c>
      <c r="E38" s="2" t="s">
        <v>156</v>
      </c>
      <c r="F38" s="2" t="s">
        <v>91</v>
      </c>
      <c r="G38" s="2" t="s">
        <v>26</v>
      </c>
      <c r="H38" s="2" t="s">
        <v>105</v>
      </c>
      <c r="I38" s="28">
        <v>0.33333333333333331</v>
      </c>
      <c r="J38" s="28">
        <v>0.42499999999999999</v>
      </c>
      <c r="K38" s="3">
        <v>87</v>
      </c>
      <c r="L38" s="6">
        <v>2.2000000000000002</v>
      </c>
      <c r="M38" s="2" t="s">
        <v>71</v>
      </c>
      <c r="N38" s="9">
        <v>236</v>
      </c>
      <c r="O38" s="7">
        <v>23.8</v>
      </c>
      <c r="P38" s="36">
        <v>22610</v>
      </c>
      <c r="Q38" s="36">
        <f>Table1[[#This Row],[Fuel Cost (NGN)]]/Table1[[#This Row],[Distance (km)]]</f>
        <v>259.88505747126436</v>
      </c>
      <c r="R38" s="45">
        <v>3.6554621848739495</v>
      </c>
      <c r="S38" s="49">
        <v>142.41525423728814</v>
      </c>
      <c r="T38" s="36">
        <v>10000</v>
      </c>
      <c r="U38" s="36">
        <v>1000</v>
      </c>
      <c r="V38" s="36">
        <v>0</v>
      </c>
      <c r="W38" s="36" t="s">
        <v>428</v>
      </c>
      <c r="X38" s="36">
        <v>33610</v>
      </c>
      <c r="Y38" s="36" t="str">
        <f>IF(OR(Table1[[#This Row],[Trip Status]]="Failed",Table1[[#This Row],[Trip Status]]="Delayed"),"Issue","Normal")</f>
        <v>Normal</v>
      </c>
      <c r="Z38" s="2" t="s">
        <v>87</v>
      </c>
      <c r="AA38" s="16" t="s">
        <v>88</v>
      </c>
    </row>
    <row r="39" spans="1:27" x14ac:dyDescent="0.25">
      <c r="A39" s="15" t="s">
        <v>214</v>
      </c>
      <c r="B39" s="5">
        <v>45825</v>
      </c>
      <c r="C39" s="5" t="str">
        <f>TEXT(Table1[[#This Row],[Date]],"mmmm")</f>
        <v>June</v>
      </c>
      <c r="D39" s="2" t="s">
        <v>216</v>
      </c>
      <c r="E39" s="2" t="s">
        <v>217</v>
      </c>
      <c r="F39" s="2" t="s">
        <v>176</v>
      </c>
      <c r="G39" s="2" t="s">
        <v>84</v>
      </c>
      <c r="H39" s="2" t="s">
        <v>77</v>
      </c>
      <c r="I39" s="28">
        <v>0.35416666666666669</v>
      </c>
      <c r="J39" s="28">
        <v>0.60416666666666663</v>
      </c>
      <c r="K39" s="3">
        <v>344</v>
      </c>
      <c r="L39" s="6">
        <v>6</v>
      </c>
      <c r="M39" s="2" t="s">
        <v>62</v>
      </c>
      <c r="N39" s="9">
        <v>103</v>
      </c>
      <c r="O39" s="7">
        <v>52.9</v>
      </c>
      <c r="P39" s="36">
        <v>50255</v>
      </c>
      <c r="Q39" s="36">
        <f>Table1[[#This Row],[Fuel Cost (NGN)]]/Table1[[#This Row],[Distance (km)]]</f>
        <v>146.09011627906978</v>
      </c>
      <c r="R39" s="45">
        <v>6.5028355387523629</v>
      </c>
      <c r="S39" s="49">
        <v>570.43689320388353</v>
      </c>
      <c r="T39" s="36">
        <v>8000</v>
      </c>
      <c r="U39" s="36">
        <v>500</v>
      </c>
      <c r="V39" s="36">
        <v>0</v>
      </c>
      <c r="W39" s="36" t="s">
        <v>428</v>
      </c>
      <c r="X39" s="36">
        <v>58755</v>
      </c>
      <c r="Y39" s="36" t="str">
        <f>IF(OR(Table1[[#This Row],[Trip Status]]="Failed",Table1[[#This Row],[Trip Status]]="Delayed"),"Issue","Normal")</f>
        <v>Normal</v>
      </c>
      <c r="Z39" s="2" t="s">
        <v>43</v>
      </c>
      <c r="AA39" s="16" t="s">
        <v>44</v>
      </c>
    </row>
    <row r="40" spans="1:27" x14ac:dyDescent="0.25">
      <c r="A40" s="15" t="s">
        <v>219</v>
      </c>
      <c r="B40" s="5">
        <v>45678</v>
      </c>
      <c r="C40" s="5" t="str">
        <f>TEXT(Table1[[#This Row],[Date]],"mmmm")</f>
        <v>January</v>
      </c>
      <c r="D40" s="2" t="s">
        <v>35</v>
      </c>
      <c r="E40" s="2" t="s">
        <v>36</v>
      </c>
      <c r="F40" s="2" t="s">
        <v>37</v>
      </c>
      <c r="G40" s="2" t="s">
        <v>50</v>
      </c>
      <c r="H40" s="2" t="s">
        <v>84</v>
      </c>
      <c r="I40" s="28">
        <v>0.38541666666666669</v>
      </c>
      <c r="J40" s="28">
        <v>0.47291666666666665</v>
      </c>
      <c r="K40" s="3">
        <v>80</v>
      </c>
      <c r="L40" s="6">
        <v>2.1</v>
      </c>
      <c r="M40" s="2" t="s">
        <v>128</v>
      </c>
      <c r="N40" s="9">
        <v>273</v>
      </c>
      <c r="O40" s="7">
        <v>16.3</v>
      </c>
      <c r="P40" s="36">
        <v>15485</v>
      </c>
      <c r="Q40" s="36">
        <f>Table1[[#This Row],[Fuel Cost (NGN)]]/Table1[[#This Row],[Distance (km)]]</f>
        <v>193.5625</v>
      </c>
      <c r="R40" s="45">
        <v>4.9079754601226995</v>
      </c>
      <c r="S40" s="49">
        <v>89.688644688644686</v>
      </c>
      <c r="T40" s="36">
        <v>8000</v>
      </c>
      <c r="U40" s="36">
        <v>1000</v>
      </c>
      <c r="V40" s="36">
        <v>0</v>
      </c>
      <c r="W40" s="36" t="s">
        <v>428</v>
      </c>
      <c r="X40" s="36">
        <v>24485</v>
      </c>
      <c r="Y40" s="36" t="str">
        <f>IF(OR(Table1[[#This Row],[Trip Status]]="Failed",Table1[[#This Row],[Trip Status]]="Delayed"),"Issue","Normal")</f>
        <v>Issue</v>
      </c>
      <c r="Z40" s="2" t="s">
        <v>31</v>
      </c>
      <c r="AA40" s="16" t="s">
        <v>32</v>
      </c>
    </row>
    <row r="41" spans="1:27" x14ac:dyDescent="0.25">
      <c r="A41" s="15" t="s">
        <v>222</v>
      </c>
      <c r="B41" s="5">
        <v>45716</v>
      </c>
      <c r="C41" s="5" t="str">
        <f>TEXT(Table1[[#This Row],[Date]],"mmmm")</f>
        <v>February</v>
      </c>
      <c r="D41" s="2" t="s">
        <v>35</v>
      </c>
      <c r="E41" s="2" t="s">
        <v>36</v>
      </c>
      <c r="F41" s="2" t="s">
        <v>49</v>
      </c>
      <c r="G41" s="2" t="s">
        <v>60</v>
      </c>
      <c r="H41" s="2" t="s">
        <v>27</v>
      </c>
      <c r="I41" s="28">
        <v>0.375</v>
      </c>
      <c r="J41" s="28">
        <v>0.51250000000000007</v>
      </c>
      <c r="K41" s="3">
        <v>170</v>
      </c>
      <c r="L41" s="6">
        <v>3.3</v>
      </c>
      <c r="M41" s="2" t="s">
        <v>120</v>
      </c>
      <c r="N41" s="9">
        <v>456</v>
      </c>
      <c r="O41" s="7">
        <v>26.9</v>
      </c>
      <c r="P41" s="36">
        <v>25555</v>
      </c>
      <c r="Q41" s="36">
        <f>Table1[[#This Row],[Fuel Cost (NGN)]]/Table1[[#This Row],[Distance (km)]]</f>
        <v>150.3235294117647</v>
      </c>
      <c r="R41" s="45">
        <v>6.3197026022304836</v>
      </c>
      <c r="S41" s="49">
        <v>71.392543859649123</v>
      </c>
      <c r="T41" s="36">
        <v>7000</v>
      </c>
      <c r="U41" s="36">
        <v>0</v>
      </c>
      <c r="V41" s="36">
        <v>0</v>
      </c>
      <c r="W41" s="36" t="s">
        <v>428</v>
      </c>
      <c r="X41" s="36">
        <v>32555</v>
      </c>
      <c r="Y41" s="36" t="str">
        <f>IF(OR(Table1[[#This Row],[Trip Status]]="Failed",Table1[[#This Row],[Trip Status]]="Delayed"),"Issue","Normal")</f>
        <v>Normal</v>
      </c>
      <c r="Z41" s="2" t="s">
        <v>87</v>
      </c>
      <c r="AA41" s="16" t="s">
        <v>88</v>
      </c>
    </row>
    <row r="42" spans="1:27" x14ac:dyDescent="0.25">
      <c r="A42" s="15" t="s">
        <v>225</v>
      </c>
      <c r="B42" s="5">
        <v>45812</v>
      </c>
      <c r="C42" s="5" t="str">
        <f>TEXT(Table1[[#This Row],[Date]],"mmmm")</f>
        <v>June</v>
      </c>
      <c r="D42" s="2" t="s">
        <v>123</v>
      </c>
      <c r="E42" s="2" t="s">
        <v>124</v>
      </c>
      <c r="F42" s="2" t="s">
        <v>104</v>
      </c>
      <c r="G42" s="2" t="s">
        <v>26</v>
      </c>
      <c r="H42" s="2" t="s">
        <v>172</v>
      </c>
      <c r="I42" s="28">
        <v>0.375</v>
      </c>
      <c r="J42" s="28">
        <v>0.53749999999999998</v>
      </c>
      <c r="K42" s="3">
        <v>183</v>
      </c>
      <c r="L42" s="6">
        <v>3.9</v>
      </c>
      <c r="M42" s="2" t="s">
        <v>30</v>
      </c>
      <c r="N42" s="9">
        <v>120</v>
      </c>
      <c r="O42" s="7">
        <v>36.5</v>
      </c>
      <c r="P42" s="36">
        <v>34675</v>
      </c>
      <c r="Q42" s="36">
        <f>Table1[[#This Row],[Fuel Cost (NGN)]]/Table1[[#This Row],[Distance (km)]]</f>
        <v>189.48087431693989</v>
      </c>
      <c r="R42" s="45">
        <v>5.0136986301369859</v>
      </c>
      <c r="S42" s="49">
        <v>480.625</v>
      </c>
      <c r="T42" s="36">
        <v>8000</v>
      </c>
      <c r="U42" s="36">
        <v>0</v>
      </c>
      <c r="V42" s="36">
        <v>15000</v>
      </c>
      <c r="W42" s="36" t="s">
        <v>427</v>
      </c>
      <c r="X42" s="36">
        <v>57675</v>
      </c>
      <c r="Y42" s="36" t="str">
        <f>IF(OR(Table1[[#This Row],[Trip Status]]="Failed",Table1[[#This Row],[Trip Status]]="Delayed"),"Issue","Normal")</f>
        <v>Normal</v>
      </c>
      <c r="Z42" s="2" t="s">
        <v>43</v>
      </c>
      <c r="AA42" s="16" t="s">
        <v>44</v>
      </c>
    </row>
    <row r="43" spans="1:27" x14ac:dyDescent="0.25">
      <c r="A43" s="15" t="s">
        <v>228</v>
      </c>
      <c r="B43" s="5">
        <v>45908</v>
      </c>
      <c r="C43" s="5" t="str">
        <f>TEXT(Table1[[#This Row],[Date]],"mmmm")</f>
        <v>September</v>
      </c>
      <c r="D43" s="2" t="s">
        <v>47</v>
      </c>
      <c r="E43" s="2" t="s">
        <v>48</v>
      </c>
      <c r="F43" s="2" t="s">
        <v>186</v>
      </c>
      <c r="G43" s="2" t="s">
        <v>112</v>
      </c>
      <c r="H43" s="2" t="s">
        <v>125</v>
      </c>
      <c r="I43" s="28">
        <v>0.28125</v>
      </c>
      <c r="J43" s="28">
        <v>0.76041666666666663</v>
      </c>
      <c r="K43" s="3">
        <v>530</v>
      </c>
      <c r="L43" s="6">
        <v>11.5</v>
      </c>
      <c r="M43" s="2" t="s">
        <v>94</v>
      </c>
      <c r="N43" s="9">
        <v>545</v>
      </c>
      <c r="O43" s="7">
        <v>108.3</v>
      </c>
      <c r="P43" s="36">
        <v>102885</v>
      </c>
      <c r="Q43" s="36">
        <f>Table1[[#This Row],[Fuel Cost (NGN)]]/Table1[[#This Row],[Distance (km)]]</f>
        <v>194.12264150943398</v>
      </c>
      <c r="R43" s="45">
        <v>4.8938134810710991</v>
      </c>
      <c r="S43" s="49">
        <v>230.9816513761468</v>
      </c>
      <c r="T43" s="36">
        <v>12000</v>
      </c>
      <c r="U43" s="36">
        <v>1000</v>
      </c>
      <c r="V43" s="36">
        <v>10000</v>
      </c>
      <c r="W43" s="36" t="s">
        <v>427</v>
      </c>
      <c r="X43" s="36">
        <v>125885</v>
      </c>
      <c r="Y43" s="36" t="str">
        <f>IF(OR(Table1[[#This Row],[Trip Status]]="Failed",Table1[[#This Row],[Trip Status]]="Delayed"),"Issue","Normal")</f>
        <v>Normal</v>
      </c>
      <c r="Z43" s="2" t="s">
        <v>43</v>
      </c>
      <c r="AA43" s="16" t="s">
        <v>44</v>
      </c>
    </row>
    <row r="44" spans="1:27" x14ac:dyDescent="0.25">
      <c r="A44" s="15" t="s">
        <v>230</v>
      </c>
      <c r="B44" s="5">
        <v>45783</v>
      </c>
      <c r="C44" s="5" t="str">
        <f>TEXT(Table1[[#This Row],[Date]],"mmmm")</f>
        <v>May</v>
      </c>
      <c r="D44" s="2" t="s">
        <v>123</v>
      </c>
      <c r="E44" s="2" t="s">
        <v>124</v>
      </c>
      <c r="F44" s="2" t="s">
        <v>171</v>
      </c>
      <c r="G44" s="2" t="s">
        <v>68</v>
      </c>
      <c r="H44" s="2" t="s">
        <v>27</v>
      </c>
      <c r="I44" s="28">
        <v>0.28125</v>
      </c>
      <c r="J44" s="28">
        <v>0.70208333333333339</v>
      </c>
      <c r="K44" s="3">
        <v>521</v>
      </c>
      <c r="L44" s="6">
        <v>10.1</v>
      </c>
      <c r="M44" s="2" t="s">
        <v>30</v>
      </c>
      <c r="N44" s="9">
        <v>79</v>
      </c>
      <c r="O44" s="7">
        <v>104.6</v>
      </c>
      <c r="P44" s="36">
        <v>99370</v>
      </c>
      <c r="Q44" s="36">
        <f>Table1[[#This Row],[Fuel Cost (NGN)]]/Table1[[#This Row],[Distance (km)]]</f>
        <v>190.72936660268715</v>
      </c>
      <c r="R44" s="45">
        <v>4.9808795411089868</v>
      </c>
      <c r="S44" s="49">
        <v>1681.8987341772151</v>
      </c>
      <c r="T44" s="36">
        <v>8000</v>
      </c>
      <c r="U44" s="36">
        <v>500</v>
      </c>
      <c r="V44" s="36">
        <v>25000</v>
      </c>
      <c r="W44" s="36" t="s">
        <v>427</v>
      </c>
      <c r="X44" s="36">
        <v>132870</v>
      </c>
      <c r="Y44" s="36" t="str">
        <f>IF(OR(Table1[[#This Row],[Trip Status]]="Failed",Table1[[#This Row],[Trip Status]]="Delayed"),"Issue","Normal")</f>
        <v>Normal</v>
      </c>
      <c r="Z44" s="2" t="s">
        <v>87</v>
      </c>
      <c r="AA44" s="16" t="s">
        <v>88</v>
      </c>
    </row>
    <row r="45" spans="1:27" x14ac:dyDescent="0.25">
      <c r="A45" s="15" t="s">
        <v>233</v>
      </c>
      <c r="B45" s="5">
        <v>45839</v>
      </c>
      <c r="C45" s="5" t="str">
        <f>TEXT(Table1[[#This Row],[Date]],"mmmm")</f>
        <v>July</v>
      </c>
      <c r="D45" s="2" t="s">
        <v>35</v>
      </c>
      <c r="E45" s="2" t="s">
        <v>36</v>
      </c>
      <c r="F45" s="2" t="s">
        <v>67</v>
      </c>
      <c r="G45" s="2" t="s">
        <v>112</v>
      </c>
      <c r="H45" s="2" t="s">
        <v>27</v>
      </c>
      <c r="I45" s="28">
        <v>0.29166666666666669</v>
      </c>
      <c r="J45" s="28">
        <v>0.79166666666666663</v>
      </c>
      <c r="K45" s="3">
        <v>670</v>
      </c>
      <c r="L45" s="6">
        <v>12</v>
      </c>
      <c r="M45" s="2" t="s">
        <v>108</v>
      </c>
      <c r="N45" s="9">
        <v>466</v>
      </c>
      <c r="O45" s="7">
        <v>134.9</v>
      </c>
      <c r="P45" s="36">
        <v>128155</v>
      </c>
      <c r="Q45" s="36">
        <f>Table1[[#This Row],[Fuel Cost (NGN)]]/Table1[[#This Row],[Distance (km)]]</f>
        <v>191.27611940298507</v>
      </c>
      <c r="R45" s="45">
        <v>4.966641957005189</v>
      </c>
      <c r="S45" s="49">
        <v>349.04506437768242</v>
      </c>
      <c r="T45" s="36">
        <v>7000</v>
      </c>
      <c r="U45" s="36">
        <v>2500</v>
      </c>
      <c r="V45" s="36">
        <v>25000</v>
      </c>
      <c r="W45" s="36" t="s">
        <v>427</v>
      </c>
      <c r="X45" s="36">
        <v>162655</v>
      </c>
      <c r="Y45" s="36" t="str">
        <f>IF(OR(Table1[[#This Row],[Trip Status]]="Failed",Table1[[#This Row],[Trip Status]]="Delayed"),"Issue","Normal")</f>
        <v>Issue</v>
      </c>
      <c r="Z45" s="2" t="s">
        <v>236</v>
      </c>
      <c r="AA45" s="16" t="s">
        <v>32</v>
      </c>
    </row>
    <row r="46" spans="1:27" x14ac:dyDescent="0.25">
      <c r="A46" s="15" t="s">
        <v>237</v>
      </c>
      <c r="B46" s="5">
        <v>45909</v>
      </c>
      <c r="C46" s="5" t="str">
        <f>TEXT(Table1[[#This Row],[Date]],"mmmm")</f>
        <v>September</v>
      </c>
      <c r="D46" s="2" t="s">
        <v>239</v>
      </c>
      <c r="E46" s="2" t="s">
        <v>240</v>
      </c>
      <c r="F46" s="2" t="s">
        <v>176</v>
      </c>
      <c r="G46" s="2" t="s">
        <v>92</v>
      </c>
      <c r="H46" s="2" t="s">
        <v>68</v>
      </c>
      <c r="I46" s="28">
        <v>0.28125</v>
      </c>
      <c r="J46" s="28">
        <v>0.46458333333333335</v>
      </c>
      <c r="K46" s="3">
        <v>250</v>
      </c>
      <c r="L46" s="6">
        <v>4.4000000000000004</v>
      </c>
      <c r="M46" s="2" t="s">
        <v>42</v>
      </c>
      <c r="N46" s="9">
        <v>427</v>
      </c>
      <c r="O46" s="7">
        <v>50.8</v>
      </c>
      <c r="P46" s="36">
        <v>48260</v>
      </c>
      <c r="Q46" s="36">
        <f>Table1[[#This Row],[Fuel Cost (NGN)]]/Table1[[#This Row],[Distance (km)]]</f>
        <v>193.04</v>
      </c>
      <c r="R46" s="45">
        <v>4.9212598425196852</v>
      </c>
      <c r="S46" s="49">
        <v>178.59484777517565</v>
      </c>
      <c r="T46" s="36">
        <v>12000</v>
      </c>
      <c r="U46" s="36">
        <v>1000</v>
      </c>
      <c r="V46" s="36">
        <v>15000</v>
      </c>
      <c r="W46" s="36" t="s">
        <v>427</v>
      </c>
      <c r="X46" s="36">
        <v>76260</v>
      </c>
      <c r="Y46" s="36" t="str">
        <f>IF(OR(Table1[[#This Row],[Trip Status]]="Failed",Table1[[#This Row],[Trip Status]]="Delayed"),"Issue","Normal")</f>
        <v>Issue</v>
      </c>
      <c r="Z46" s="2" t="s">
        <v>236</v>
      </c>
      <c r="AA46" s="16" t="s">
        <v>32</v>
      </c>
    </row>
    <row r="47" spans="1:27" x14ac:dyDescent="0.25">
      <c r="A47" s="15" t="s">
        <v>242</v>
      </c>
      <c r="B47" s="5">
        <v>45827</v>
      </c>
      <c r="C47" s="5" t="str">
        <f>TEXT(Table1[[#This Row],[Date]],"mmmm")</f>
        <v>June</v>
      </c>
      <c r="D47" s="2" t="s">
        <v>216</v>
      </c>
      <c r="E47" s="2" t="s">
        <v>217</v>
      </c>
      <c r="F47" s="2" t="s">
        <v>59</v>
      </c>
      <c r="G47" s="2" t="s">
        <v>39</v>
      </c>
      <c r="H47" s="2" t="s">
        <v>27</v>
      </c>
      <c r="I47" s="28">
        <v>0.30208333333333331</v>
      </c>
      <c r="J47" s="28">
        <v>0.62708333333333333</v>
      </c>
      <c r="K47" s="3">
        <v>373</v>
      </c>
      <c r="L47" s="6">
        <v>7.8</v>
      </c>
      <c r="M47" s="2" t="s">
        <v>128</v>
      </c>
      <c r="N47" s="9">
        <v>598</v>
      </c>
      <c r="O47" s="7">
        <v>58.7</v>
      </c>
      <c r="P47" s="36">
        <v>55765</v>
      </c>
      <c r="Q47" s="36">
        <f>Table1[[#This Row],[Fuel Cost (NGN)]]/Table1[[#This Row],[Distance (km)]]</f>
        <v>149.50402144772119</v>
      </c>
      <c r="R47" s="45">
        <v>6.3543441226575803</v>
      </c>
      <c r="S47" s="49">
        <v>105.79431438127091</v>
      </c>
      <c r="T47" s="36">
        <v>7000</v>
      </c>
      <c r="U47" s="36">
        <v>500</v>
      </c>
      <c r="V47" s="36">
        <v>0</v>
      </c>
      <c r="W47" s="36" t="s">
        <v>428</v>
      </c>
      <c r="X47" s="36">
        <v>63265</v>
      </c>
      <c r="Y47" s="36" t="str">
        <f>IF(OR(Table1[[#This Row],[Trip Status]]="Failed",Table1[[#This Row],[Trip Status]]="Delayed"),"Issue","Normal")</f>
        <v>Issue</v>
      </c>
      <c r="Z47" s="2" t="s">
        <v>236</v>
      </c>
      <c r="AA47" s="16" t="s">
        <v>32</v>
      </c>
    </row>
    <row r="48" spans="1:27" x14ac:dyDescent="0.25">
      <c r="A48" s="15" t="s">
        <v>245</v>
      </c>
      <c r="B48" s="5">
        <v>45905</v>
      </c>
      <c r="C48" s="5" t="str">
        <f>TEXT(Table1[[#This Row],[Date]],"mmmm")</f>
        <v>September</v>
      </c>
      <c r="D48" s="2" t="s">
        <v>117</v>
      </c>
      <c r="E48" s="2" t="s">
        <v>118</v>
      </c>
      <c r="F48" s="2" t="s">
        <v>59</v>
      </c>
      <c r="G48" s="2" t="s">
        <v>26</v>
      </c>
      <c r="H48" s="2" t="s">
        <v>172</v>
      </c>
      <c r="I48" s="28">
        <v>0.39583333333333331</v>
      </c>
      <c r="J48" s="28">
        <v>0.82916666666666661</v>
      </c>
      <c r="K48" s="3">
        <v>597</v>
      </c>
      <c r="L48" s="6">
        <v>10.4</v>
      </c>
      <c r="M48" s="2" t="s">
        <v>94</v>
      </c>
      <c r="N48" s="9">
        <v>282</v>
      </c>
      <c r="O48" s="7">
        <v>130.30000000000001</v>
      </c>
      <c r="P48" s="36">
        <v>123785</v>
      </c>
      <c r="Q48" s="36">
        <f>Table1[[#This Row],[Fuel Cost (NGN)]]/Table1[[#This Row],[Distance (km)]]</f>
        <v>207.34505862646566</v>
      </c>
      <c r="R48" s="45">
        <v>4.5817344589409048</v>
      </c>
      <c r="S48" s="49">
        <v>609.16666666666663</v>
      </c>
      <c r="T48" s="36">
        <v>8000</v>
      </c>
      <c r="U48" s="36">
        <v>0</v>
      </c>
      <c r="V48" s="36">
        <v>40000</v>
      </c>
      <c r="W48" s="36" t="s">
        <v>427</v>
      </c>
      <c r="X48" s="36">
        <v>171785</v>
      </c>
      <c r="Y48" s="36" t="str">
        <f>IF(OR(Table1[[#This Row],[Trip Status]]="Failed",Table1[[#This Row],[Trip Status]]="Delayed"),"Issue","Normal")</f>
        <v>Normal</v>
      </c>
      <c r="Z48" s="2" t="s">
        <v>87</v>
      </c>
      <c r="AA48" s="16" t="s">
        <v>88</v>
      </c>
    </row>
    <row r="49" spans="1:27" x14ac:dyDescent="0.25">
      <c r="A49" s="15" t="s">
        <v>248</v>
      </c>
      <c r="B49" s="5">
        <v>45798</v>
      </c>
      <c r="C49" s="5" t="str">
        <f>TEXT(Table1[[#This Row],[Date]],"mmmm")</f>
        <v>May</v>
      </c>
      <c r="D49" s="2" t="s">
        <v>207</v>
      </c>
      <c r="E49" s="2" t="s">
        <v>208</v>
      </c>
      <c r="F49" s="2" t="s">
        <v>37</v>
      </c>
      <c r="G49" s="2" t="s">
        <v>105</v>
      </c>
      <c r="H49" s="2" t="s">
        <v>27</v>
      </c>
      <c r="I49" s="28">
        <v>0.28125</v>
      </c>
      <c r="J49" s="28">
        <v>0.94791666666666663</v>
      </c>
      <c r="K49" s="3">
        <v>774</v>
      </c>
      <c r="L49" s="6">
        <v>16</v>
      </c>
      <c r="M49" s="2" t="s">
        <v>94</v>
      </c>
      <c r="N49" s="9">
        <v>530</v>
      </c>
      <c r="O49" s="7">
        <v>156.80000000000001</v>
      </c>
      <c r="P49" s="36">
        <v>148960</v>
      </c>
      <c r="Q49" s="36">
        <f>Table1[[#This Row],[Fuel Cost (NGN)]]/Table1[[#This Row],[Distance (km)]]</f>
        <v>192.45478036175712</v>
      </c>
      <c r="R49" s="45">
        <v>4.9362244897959178</v>
      </c>
      <c r="S49" s="49">
        <v>297.09433962264148</v>
      </c>
      <c r="T49" s="36">
        <v>8000</v>
      </c>
      <c r="U49" s="36">
        <v>500</v>
      </c>
      <c r="V49" s="36">
        <v>0</v>
      </c>
      <c r="W49" s="36" t="s">
        <v>428</v>
      </c>
      <c r="X49" s="36">
        <v>157460</v>
      </c>
      <c r="Y49" s="36" t="str">
        <f>IF(OR(Table1[[#This Row],[Trip Status]]="Failed",Table1[[#This Row],[Trip Status]]="Delayed"),"Issue","Normal")</f>
        <v>Normal</v>
      </c>
      <c r="Z49" s="2" t="s">
        <v>87</v>
      </c>
      <c r="AA49" s="16" t="s">
        <v>88</v>
      </c>
    </row>
    <row r="50" spans="1:27" x14ac:dyDescent="0.25">
      <c r="A50" s="15" t="s">
        <v>251</v>
      </c>
      <c r="B50" s="5">
        <v>45902</v>
      </c>
      <c r="C50" s="5" t="str">
        <f>TEXT(Table1[[#This Row],[Date]],"mmmm")</f>
        <v>September</v>
      </c>
      <c r="D50" s="2" t="s">
        <v>47</v>
      </c>
      <c r="E50" s="2" t="s">
        <v>48</v>
      </c>
      <c r="F50" s="2" t="s">
        <v>49</v>
      </c>
      <c r="G50" s="2" t="s">
        <v>68</v>
      </c>
      <c r="H50" s="2" t="s">
        <v>77</v>
      </c>
      <c r="I50" s="28">
        <v>0.20833333333333334</v>
      </c>
      <c r="J50" s="28">
        <v>0.7416666666666667</v>
      </c>
      <c r="K50" s="3">
        <v>563</v>
      </c>
      <c r="L50" s="6">
        <v>12.8</v>
      </c>
      <c r="M50" s="2" t="s">
        <v>94</v>
      </c>
      <c r="N50" s="9">
        <v>137</v>
      </c>
      <c r="O50" s="7">
        <v>86.9</v>
      </c>
      <c r="P50" s="36">
        <v>82555</v>
      </c>
      <c r="Q50" s="36">
        <f>Table1[[#This Row],[Fuel Cost (NGN)]]/Table1[[#This Row],[Distance (km)]]</f>
        <v>146.6341030195382</v>
      </c>
      <c r="R50" s="45">
        <v>6.4787111622554656</v>
      </c>
      <c r="S50" s="49">
        <v>763.17518248175179</v>
      </c>
      <c r="T50" s="36">
        <v>5000</v>
      </c>
      <c r="U50" s="36">
        <v>2000</v>
      </c>
      <c r="V50" s="36">
        <v>15000</v>
      </c>
      <c r="W50" s="36" t="s">
        <v>427</v>
      </c>
      <c r="X50" s="36">
        <v>104555</v>
      </c>
      <c r="Y50" s="36" t="str">
        <f>IF(OR(Table1[[#This Row],[Trip Status]]="Failed",Table1[[#This Row],[Trip Status]]="Delayed"),"Issue","Normal")</f>
        <v>Issue</v>
      </c>
      <c r="Z50" s="2" t="s">
        <v>31</v>
      </c>
      <c r="AA50" s="16" t="s">
        <v>32</v>
      </c>
    </row>
    <row r="51" spans="1:27" x14ac:dyDescent="0.25">
      <c r="A51" s="15" t="s">
        <v>254</v>
      </c>
      <c r="B51" s="5">
        <v>45773</v>
      </c>
      <c r="C51" s="5" t="str">
        <f>TEXT(Table1[[#This Row],[Date]],"mmmm")</f>
        <v>April</v>
      </c>
      <c r="D51" s="2" t="s">
        <v>35</v>
      </c>
      <c r="E51" s="2" t="s">
        <v>36</v>
      </c>
      <c r="F51" s="2" t="s">
        <v>256</v>
      </c>
      <c r="G51" s="2" t="s">
        <v>77</v>
      </c>
      <c r="H51" s="2" t="s">
        <v>39</v>
      </c>
      <c r="I51" s="28">
        <v>0.32291666666666669</v>
      </c>
      <c r="J51" s="28">
        <v>0.4145833333333333</v>
      </c>
      <c r="K51" s="3">
        <v>73</v>
      </c>
      <c r="L51" s="6">
        <v>2.2000000000000002</v>
      </c>
      <c r="M51" s="2" t="s">
        <v>42</v>
      </c>
      <c r="N51" s="9">
        <v>151</v>
      </c>
      <c r="O51" s="7">
        <v>11.5</v>
      </c>
      <c r="P51" s="36">
        <v>10925</v>
      </c>
      <c r="Q51" s="36">
        <f>Table1[[#This Row],[Fuel Cost (NGN)]]/Table1[[#This Row],[Distance (km)]]</f>
        <v>149.65753424657535</v>
      </c>
      <c r="R51" s="45">
        <v>6.3478260869565215</v>
      </c>
      <c r="S51" s="49">
        <v>135.26490066225165</v>
      </c>
      <c r="T51" s="36">
        <v>7000</v>
      </c>
      <c r="U51" s="36">
        <v>2500</v>
      </c>
      <c r="V51" s="36">
        <v>0</v>
      </c>
      <c r="W51" s="36" t="s">
        <v>428</v>
      </c>
      <c r="X51" s="36">
        <v>20425</v>
      </c>
      <c r="Y51" s="36" t="str">
        <f>IF(OR(Table1[[#This Row],[Trip Status]]="Failed",Table1[[#This Row],[Trip Status]]="Delayed"),"Issue","Normal")</f>
        <v>Normal</v>
      </c>
      <c r="Z51" s="2" t="s">
        <v>87</v>
      </c>
      <c r="AA51" s="16" t="s">
        <v>88</v>
      </c>
    </row>
    <row r="52" spans="1:27" x14ac:dyDescent="0.25">
      <c r="A52" s="15" t="s">
        <v>258</v>
      </c>
      <c r="B52" s="5">
        <v>45699</v>
      </c>
      <c r="C52" s="5" t="str">
        <f>TEXT(Table1[[#This Row],[Date]],"mmmm")</f>
        <v>February</v>
      </c>
      <c r="D52" s="2" t="s">
        <v>102</v>
      </c>
      <c r="E52" s="2" t="s">
        <v>103</v>
      </c>
      <c r="F52" s="2" t="s">
        <v>111</v>
      </c>
      <c r="G52" s="2" t="s">
        <v>60</v>
      </c>
      <c r="H52" s="2" t="s">
        <v>105</v>
      </c>
      <c r="I52" s="28">
        <v>0.25</v>
      </c>
      <c r="J52" s="28">
        <v>0.39166666666666666</v>
      </c>
      <c r="K52" s="3">
        <v>136</v>
      </c>
      <c r="L52" s="6">
        <v>3.4</v>
      </c>
      <c r="M52" s="2" t="s">
        <v>71</v>
      </c>
      <c r="N52" s="9">
        <v>348</v>
      </c>
      <c r="O52" s="7">
        <v>37.799999999999997</v>
      </c>
      <c r="P52" s="36">
        <v>35910</v>
      </c>
      <c r="Q52" s="36">
        <f>Table1[[#This Row],[Fuel Cost (NGN)]]/Table1[[#This Row],[Distance (km)]]</f>
        <v>264.04411764705884</v>
      </c>
      <c r="R52" s="45">
        <v>3.5978835978835981</v>
      </c>
      <c r="S52" s="49">
        <v>147.72988505747125</v>
      </c>
      <c r="T52" s="36">
        <v>8000</v>
      </c>
      <c r="U52" s="36">
        <v>2500</v>
      </c>
      <c r="V52" s="36">
        <v>5000</v>
      </c>
      <c r="W52" s="36" t="s">
        <v>427</v>
      </c>
      <c r="X52" s="36">
        <v>51410</v>
      </c>
      <c r="Y52" s="36" t="str">
        <f>IF(OR(Table1[[#This Row],[Trip Status]]="Failed",Table1[[#This Row],[Trip Status]]="Delayed"),"Issue","Normal")</f>
        <v>Issue</v>
      </c>
      <c r="Z52" s="2" t="s">
        <v>236</v>
      </c>
      <c r="AA52" s="16" t="s">
        <v>32</v>
      </c>
    </row>
    <row r="53" spans="1:27" x14ac:dyDescent="0.25">
      <c r="A53" s="15" t="s">
        <v>261</v>
      </c>
      <c r="B53" s="5">
        <v>45890</v>
      </c>
      <c r="C53" s="5" t="str">
        <f>TEXT(Table1[[#This Row],[Date]],"mmmm")</f>
        <v>August</v>
      </c>
      <c r="D53" s="2" t="s">
        <v>47</v>
      </c>
      <c r="E53" s="2" t="s">
        <v>48</v>
      </c>
      <c r="F53" s="2" t="s">
        <v>104</v>
      </c>
      <c r="G53" s="2" t="s">
        <v>50</v>
      </c>
      <c r="H53" s="2" t="s">
        <v>27</v>
      </c>
      <c r="I53" s="28">
        <v>0.38541666666666669</v>
      </c>
      <c r="J53" s="28">
        <v>0.95624999999999993</v>
      </c>
      <c r="K53" s="3">
        <v>700</v>
      </c>
      <c r="L53" s="6">
        <v>13.7</v>
      </c>
      <c r="M53" s="2" t="s">
        <v>54</v>
      </c>
      <c r="N53" s="9">
        <v>322</v>
      </c>
      <c r="O53" s="7">
        <v>117.1</v>
      </c>
      <c r="P53" s="36">
        <v>111245</v>
      </c>
      <c r="Q53" s="36">
        <f>Table1[[#This Row],[Fuel Cost (NGN)]]/Table1[[#This Row],[Distance (km)]]</f>
        <v>158.92142857142858</v>
      </c>
      <c r="R53" s="45">
        <v>5.977796754910333</v>
      </c>
      <c r="S53" s="49">
        <v>361.00931677018633</v>
      </c>
      <c r="T53" s="36">
        <v>5000</v>
      </c>
      <c r="U53" s="36">
        <v>0</v>
      </c>
      <c r="V53" s="36">
        <v>0</v>
      </c>
      <c r="W53" s="36" t="s">
        <v>428</v>
      </c>
      <c r="X53" s="36">
        <v>116245</v>
      </c>
      <c r="Y53" s="36" t="str">
        <f>IF(OR(Table1[[#This Row],[Trip Status]]="Failed",Table1[[#This Row],[Trip Status]]="Delayed"),"Issue","Normal")</f>
        <v>Normal</v>
      </c>
      <c r="Z53" s="2" t="s">
        <v>43</v>
      </c>
      <c r="AA53" s="16" t="s">
        <v>44</v>
      </c>
    </row>
    <row r="54" spans="1:27" x14ac:dyDescent="0.25">
      <c r="A54" s="15" t="s">
        <v>264</v>
      </c>
      <c r="B54" s="5">
        <v>45815</v>
      </c>
      <c r="C54" s="5" t="str">
        <f>TEXT(Table1[[#This Row],[Date]],"mmmm")</f>
        <v>June</v>
      </c>
      <c r="D54" s="2" t="s">
        <v>81</v>
      </c>
      <c r="E54" s="2" t="s">
        <v>82</v>
      </c>
      <c r="F54" s="2" t="s">
        <v>59</v>
      </c>
      <c r="G54" s="2" t="s">
        <v>51</v>
      </c>
      <c r="H54" s="2" t="s">
        <v>26</v>
      </c>
      <c r="I54" s="28">
        <v>0.33333333333333331</v>
      </c>
      <c r="J54" s="28">
        <v>0.60833333333333328</v>
      </c>
      <c r="K54" s="3">
        <v>355</v>
      </c>
      <c r="L54" s="6">
        <v>6.6</v>
      </c>
      <c r="M54" s="2" t="s">
        <v>120</v>
      </c>
      <c r="N54" s="9">
        <v>328</v>
      </c>
      <c r="O54" s="7">
        <v>71</v>
      </c>
      <c r="P54" s="36">
        <v>67450</v>
      </c>
      <c r="Q54" s="36">
        <f>Table1[[#This Row],[Fuel Cost (NGN)]]/Table1[[#This Row],[Distance (km)]]</f>
        <v>190</v>
      </c>
      <c r="R54" s="45">
        <v>5</v>
      </c>
      <c r="S54" s="49">
        <v>240.70121951219511</v>
      </c>
      <c r="T54" s="36">
        <v>10000</v>
      </c>
      <c r="U54" s="36">
        <v>1500</v>
      </c>
      <c r="V54" s="36">
        <v>0</v>
      </c>
      <c r="W54" s="36" t="s">
        <v>428</v>
      </c>
      <c r="X54" s="36">
        <v>78950</v>
      </c>
      <c r="Y54" s="36" t="str">
        <f>IF(OR(Table1[[#This Row],[Trip Status]]="Failed",Table1[[#This Row],[Trip Status]]="Delayed"),"Issue","Normal")</f>
        <v>Issue</v>
      </c>
      <c r="Z54" s="2" t="s">
        <v>31</v>
      </c>
      <c r="AA54" s="16" t="s">
        <v>32</v>
      </c>
    </row>
    <row r="55" spans="1:27" x14ac:dyDescent="0.25">
      <c r="A55" s="15" t="s">
        <v>267</v>
      </c>
      <c r="B55" s="5">
        <v>45678</v>
      </c>
      <c r="C55" s="5" t="str">
        <f>TEXT(Table1[[#This Row],[Date]],"mmmm")</f>
        <v>January</v>
      </c>
      <c r="D55" s="2" t="s">
        <v>155</v>
      </c>
      <c r="E55" s="2" t="s">
        <v>156</v>
      </c>
      <c r="F55" s="2" t="s">
        <v>186</v>
      </c>
      <c r="G55" s="2" t="s">
        <v>38</v>
      </c>
      <c r="H55" s="2" t="s">
        <v>112</v>
      </c>
      <c r="I55" s="28">
        <v>0.29166666666666669</v>
      </c>
      <c r="J55" s="28">
        <v>0.95416666666666661</v>
      </c>
      <c r="K55" s="3">
        <v>678</v>
      </c>
      <c r="L55" s="6">
        <v>15.9</v>
      </c>
      <c r="M55" s="2" t="s">
        <v>42</v>
      </c>
      <c r="N55" s="9">
        <v>71</v>
      </c>
      <c r="O55" s="7">
        <v>104.3</v>
      </c>
      <c r="P55" s="36">
        <v>99085</v>
      </c>
      <c r="Q55" s="36">
        <f>Table1[[#This Row],[Fuel Cost (NGN)]]/Table1[[#This Row],[Distance (km)]]</f>
        <v>146.14306784660766</v>
      </c>
      <c r="R55" s="45">
        <v>6.5004793863854271</v>
      </c>
      <c r="S55" s="49">
        <v>1536.4084507042253</v>
      </c>
      <c r="T55" s="36">
        <v>8000</v>
      </c>
      <c r="U55" s="36">
        <v>2000</v>
      </c>
      <c r="V55" s="36">
        <v>0</v>
      </c>
      <c r="W55" s="36" t="s">
        <v>428</v>
      </c>
      <c r="X55" s="36">
        <v>109085</v>
      </c>
      <c r="Y55" s="36" t="str">
        <f>IF(OR(Table1[[#This Row],[Trip Status]]="Failed",Table1[[#This Row],[Trip Status]]="Delayed"),"Issue","Normal")</f>
        <v>Normal</v>
      </c>
      <c r="Z55" s="2" t="s">
        <v>43</v>
      </c>
      <c r="AA55" s="16" t="s">
        <v>44</v>
      </c>
    </row>
    <row r="56" spans="1:27" x14ac:dyDescent="0.25">
      <c r="A56" s="15" t="s">
        <v>268</v>
      </c>
      <c r="B56" s="5">
        <v>45747</v>
      </c>
      <c r="C56" s="5" t="str">
        <f>TEXT(Table1[[#This Row],[Date]],"mmmm")</f>
        <v>March</v>
      </c>
      <c r="D56" s="2" t="s">
        <v>239</v>
      </c>
      <c r="E56" s="2" t="s">
        <v>240</v>
      </c>
      <c r="F56" s="2" t="s">
        <v>256</v>
      </c>
      <c r="G56" s="2" t="s">
        <v>125</v>
      </c>
      <c r="H56" s="2" t="s">
        <v>39</v>
      </c>
      <c r="I56" s="28">
        <v>0.28125</v>
      </c>
      <c r="J56" s="28">
        <v>0.54791666666666672</v>
      </c>
      <c r="K56" s="3">
        <v>344</v>
      </c>
      <c r="L56" s="6">
        <v>6.4</v>
      </c>
      <c r="M56" s="2" t="s">
        <v>128</v>
      </c>
      <c r="N56" s="9">
        <v>531</v>
      </c>
      <c r="O56" s="7">
        <v>75.7</v>
      </c>
      <c r="P56" s="36">
        <v>71915</v>
      </c>
      <c r="Q56" s="36">
        <f>Table1[[#This Row],[Fuel Cost (NGN)]]/Table1[[#This Row],[Distance (km)]]</f>
        <v>209.05523255813952</v>
      </c>
      <c r="R56" s="45">
        <v>4.5442536327608982</v>
      </c>
      <c r="S56" s="49">
        <v>152.38229755178907</v>
      </c>
      <c r="T56" s="36">
        <v>8000</v>
      </c>
      <c r="U56" s="36">
        <v>1000</v>
      </c>
      <c r="V56" s="36">
        <v>0</v>
      </c>
      <c r="W56" s="36" t="s">
        <v>428</v>
      </c>
      <c r="X56" s="36">
        <v>80915</v>
      </c>
      <c r="Y56" s="36" t="str">
        <f>IF(OR(Table1[[#This Row],[Trip Status]]="Failed",Table1[[#This Row],[Trip Status]]="Delayed"),"Issue","Normal")</f>
        <v>Normal</v>
      </c>
      <c r="Z56" s="2" t="s">
        <v>43</v>
      </c>
      <c r="AA56" s="16" t="s">
        <v>44</v>
      </c>
    </row>
    <row r="57" spans="1:27" x14ac:dyDescent="0.25">
      <c r="A57" s="15" t="s">
        <v>271</v>
      </c>
      <c r="B57" s="5">
        <v>45740</v>
      </c>
      <c r="C57" s="5" t="str">
        <f>TEXT(Table1[[#This Row],[Date]],"mmmm")</f>
        <v>March</v>
      </c>
      <c r="D57" s="2" t="s">
        <v>216</v>
      </c>
      <c r="E57" s="2" t="s">
        <v>217</v>
      </c>
      <c r="F57" s="2" t="s">
        <v>186</v>
      </c>
      <c r="G57" s="2" t="s">
        <v>38</v>
      </c>
      <c r="H57" s="2" t="s">
        <v>39</v>
      </c>
      <c r="I57" s="28">
        <v>0.33333333333333331</v>
      </c>
      <c r="J57" s="28">
        <v>0.61249999999999993</v>
      </c>
      <c r="K57" s="3">
        <v>355</v>
      </c>
      <c r="L57" s="6">
        <v>6.7</v>
      </c>
      <c r="M57" s="2" t="s">
        <v>30</v>
      </c>
      <c r="N57" s="9">
        <v>168</v>
      </c>
      <c r="O57" s="7">
        <v>55.4</v>
      </c>
      <c r="P57" s="36">
        <v>52630</v>
      </c>
      <c r="Q57" s="36">
        <f>Table1[[#This Row],[Fuel Cost (NGN)]]/Table1[[#This Row],[Distance (km)]]</f>
        <v>148.25352112676057</v>
      </c>
      <c r="R57" s="45">
        <v>6.4079422382671485</v>
      </c>
      <c r="S57" s="49">
        <v>384.70238095238096</v>
      </c>
      <c r="T57" s="36">
        <v>10000</v>
      </c>
      <c r="U57" s="36">
        <v>2000</v>
      </c>
      <c r="V57" s="36">
        <v>0</v>
      </c>
      <c r="W57" s="36" t="s">
        <v>428</v>
      </c>
      <c r="X57" s="36">
        <v>64630</v>
      </c>
      <c r="Y57" s="36" t="str">
        <f>IF(OR(Table1[[#This Row],[Trip Status]]="Failed",Table1[[#This Row],[Trip Status]]="Delayed"),"Issue","Normal")</f>
        <v>Issue</v>
      </c>
      <c r="Z57" s="2" t="s">
        <v>236</v>
      </c>
      <c r="AA57" s="16" t="s">
        <v>32</v>
      </c>
    </row>
    <row r="58" spans="1:27" x14ac:dyDescent="0.25">
      <c r="A58" s="15" t="s">
        <v>274</v>
      </c>
      <c r="B58" s="5">
        <v>45894</v>
      </c>
      <c r="C58" s="5" t="str">
        <f>TEXT(Table1[[#This Row],[Date]],"mmmm")</f>
        <v>August</v>
      </c>
      <c r="D58" s="2" t="s">
        <v>65</v>
      </c>
      <c r="E58" s="2" t="s">
        <v>66</v>
      </c>
      <c r="F58" s="2" t="s">
        <v>37</v>
      </c>
      <c r="G58" s="2" t="s">
        <v>50</v>
      </c>
      <c r="H58" s="2" t="s">
        <v>105</v>
      </c>
      <c r="I58" s="28">
        <v>0.40625</v>
      </c>
      <c r="J58" s="28">
        <v>0.76041666666666663</v>
      </c>
      <c r="K58" s="3">
        <v>430</v>
      </c>
      <c r="L58" s="6">
        <v>8.5</v>
      </c>
      <c r="M58" s="2" t="s">
        <v>108</v>
      </c>
      <c r="N58" s="9">
        <v>323</v>
      </c>
      <c r="O58" s="7">
        <v>83.5</v>
      </c>
      <c r="P58" s="36">
        <v>79325</v>
      </c>
      <c r="Q58" s="36">
        <f>Table1[[#This Row],[Fuel Cost (NGN)]]/Table1[[#This Row],[Distance (km)]]</f>
        <v>184.47674418604652</v>
      </c>
      <c r="R58" s="45">
        <v>5.1497005988023954</v>
      </c>
      <c r="S58" s="49">
        <v>352.39938080495358</v>
      </c>
      <c r="T58" s="36">
        <v>8000</v>
      </c>
      <c r="U58" s="36">
        <v>1500</v>
      </c>
      <c r="V58" s="36">
        <v>25000</v>
      </c>
      <c r="W58" s="36" t="s">
        <v>427</v>
      </c>
      <c r="X58" s="36">
        <v>113825</v>
      </c>
      <c r="Y58" s="36" t="str">
        <f>IF(OR(Table1[[#This Row],[Trip Status]]="Failed",Table1[[#This Row],[Trip Status]]="Delayed"),"Issue","Normal")</f>
        <v>Normal</v>
      </c>
      <c r="Z58" s="2" t="s">
        <v>87</v>
      </c>
      <c r="AA58" s="16" t="s">
        <v>88</v>
      </c>
    </row>
    <row r="59" spans="1:27" x14ac:dyDescent="0.25">
      <c r="A59" s="15" t="s">
        <v>276</v>
      </c>
      <c r="B59" s="5">
        <v>45672</v>
      </c>
      <c r="C59" s="5" t="str">
        <f>TEXT(Table1[[#This Row],[Date]],"mmmm")</f>
        <v>January</v>
      </c>
      <c r="D59" s="2" t="s">
        <v>142</v>
      </c>
      <c r="E59" s="2" t="s">
        <v>143</v>
      </c>
      <c r="F59" s="2" t="s">
        <v>76</v>
      </c>
      <c r="G59" s="2" t="s">
        <v>172</v>
      </c>
      <c r="H59" s="2" t="s">
        <v>50</v>
      </c>
      <c r="I59" s="28">
        <v>0.27083333333333331</v>
      </c>
      <c r="J59" s="28">
        <v>0.87916666666666676</v>
      </c>
      <c r="K59" s="3">
        <v>786</v>
      </c>
      <c r="L59" s="6">
        <v>14.6</v>
      </c>
      <c r="M59" s="2" t="s">
        <v>128</v>
      </c>
      <c r="N59" s="9">
        <v>280</v>
      </c>
      <c r="O59" s="7">
        <v>121.4</v>
      </c>
      <c r="P59" s="36">
        <v>115330</v>
      </c>
      <c r="Q59" s="36">
        <f>Table1[[#This Row],[Fuel Cost (NGN)]]/Table1[[#This Row],[Distance (km)]]</f>
        <v>146.73027989821884</v>
      </c>
      <c r="R59" s="45">
        <v>6.4744645799011531</v>
      </c>
      <c r="S59" s="49">
        <v>435.10714285714283</v>
      </c>
      <c r="T59" s="36">
        <v>5000</v>
      </c>
      <c r="U59" s="36">
        <v>1500</v>
      </c>
      <c r="V59" s="36">
        <v>0</v>
      </c>
      <c r="W59" s="36" t="s">
        <v>428</v>
      </c>
      <c r="X59" s="36">
        <v>121830</v>
      </c>
      <c r="Y59" s="36" t="str">
        <f>IF(OR(Table1[[#This Row],[Trip Status]]="Failed",Table1[[#This Row],[Trip Status]]="Delayed"),"Issue","Normal")</f>
        <v>Issue</v>
      </c>
      <c r="Z59" s="2" t="s">
        <v>236</v>
      </c>
      <c r="AA59" s="16" t="s">
        <v>32</v>
      </c>
    </row>
    <row r="60" spans="1:27" x14ac:dyDescent="0.25">
      <c r="A60" s="15" t="s">
        <v>278</v>
      </c>
      <c r="B60" s="5">
        <v>45736</v>
      </c>
      <c r="C60" s="5" t="str">
        <f>TEXT(Table1[[#This Row],[Date]],"mmmm")</f>
        <v>March</v>
      </c>
      <c r="D60" s="2" t="s">
        <v>239</v>
      </c>
      <c r="E60" s="2" t="s">
        <v>240</v>
      </c>
      <c r="F60" s="2" t="s">
        <v>171</v>
      </c>
      <c r="G60" s="2" t="s">
        <v>38</v>
      </c>
      <c r="H60" s="2" t="s">
        <v>27</v>
      </c>
      <c r="I60" s="28">
        <v>0.32291666666666669</v>
      </c>
      <c r="J60" s="28">
        <v>0.77708333333333324</v>
      </c>
      <c r="K60" s="3">
        <v>581</v>
      </c>
      <c r="L60" s="6">
        <v>10.9</v>
      </c>
      <c r="M60" s="2" t="s">
        <v>108</v>
      </c>
      <c r="N60" s="9">
        <v>517</v>
      </c>
      <c r="O60" s="7">
        <v>112.7</v>
      </c>
      <c r="P60" s="36">
        <v>107065</v>
      </c>
      <c r="Q60" s="36">
        <f>Table1[[#This Row],[Fuel Cost (NGN)]]/Table1[[#This Row],[Distance (km)]]</f>
        <v>184.27710843373495</v>
      </c>
      <c r="R60" s="45">
        <v>5.1552795031055902</v>
      </c>
      <c r="S60" s="49">
        <v>304.76789168278532</v>
      </c>
      <c r="T60" s="36">
        <v>10000</v>
      </c>
      <c r="U60" s="36">
        <v>500</v>
      </c>
      <c r="V60" s="36">
        <v>40000</v>
      </c>
      <c r="W60" s="36" t="s">
        <v>427</v>
      </c>
      <c r="X60" s="36">
        <v>157565</v>
      </c>
      <c r="Y60" s="36" t="str">
        <f>IF(OR(Table1[[#This Row],[Trip Status]]="Failed",Table1[[#This Row],[Trip Status]]="Delayed"),"Issue","Normal")</f>
        <v>Issue</v>
      </c>
      <c r="Z60" s="2" t="s">
        <v>236</v>
      </c>
      <c r="AA60" s="16" t="s">
        <v>32</v>
      </c>
    </row>
    <row r="61" spans="1:27" x14ac:dyDescent="0.25">
      <c r="A61" s="15" t="s">
        <v>281</v>
      </c>
      <c r="B61" s="5">
        <v>45727</v>
      </c>
      <c r="C61" s="5" t="str">
        <f>TEXT(Table1[[#This Row],[Date]],"mmmm")</f>
        <v>March</v>
      </c>
      <c r="D61" s="2" t="s">
        <v>123</v>
      </c>
      <c r="E61" s="2" t="s">
        <v>124</v>
      </c>
      <c r="F61" s="2" t="s">
        <v>83</v>
      </c>
      <c r="G61" s="2" t="s">
        <v>27</v>
      </c>
      <c r="H61" s="2" t="s">
        <v>172</v>
      </c>
      <c r="I61" s="28">
        <v>0.3125</v>
      </c>
      <c r="J61" s="28">
        <v>0.64166666666666672</v>
      </c>
      <c r="K61" s="3">
        <v>484</v>
      </c>
      <c r="L61" s="6">
        <v>7.9</v>
      </c>
      <c r="M61" s="2" t="s">
        <v>94</v>
      </c>
      <c r="N61" s="9">
        <v>551</v>
      </c>
      <c r="O61" s="7">
        <v>79.400000000000006</v>
      </c>
      <c r="P61" s="36">
        <v>75430</v>
      </c>
      <c r="Q61" s="36">
        <f>Table1[[#This Row],[Fuel Cost (NGN)]]/Table1[[#This Row],[Distance (km)]]</f>
        <v>155.84710743801654</v>
      </c>
      <c r="R61" s="45">
        <v>6.0957178841309823</v>
      </c>
      <c r="S61" s="49">
        <v>204.04718693284937</v>
      </c>
      <c r="T61" s="36">
        <v>10000</v>
      </c>
      <c r="U61" s="36">
        <v>2000</v>
      </c>
      <c r="V61" s="36">
        <v>25000</v>
      </c>
      <c r="W61" s="36" t="s">
        <v>427</v>
      </c>
      <c r="X61" s="36">
        <v>112430</v>
      </c>
      <c r="Y61" s="36" t="str">
        <f>IF(OR(Table1[[#This Row],[Trip Status]]="Failed",Table1[[#This Row],[Trip Status]]="Delayed"),"Issue","Normal")</f>
        <v>Normal</v>
      </c>
      <c r="Z61" s="2" t="s">
        <v>87</v>
      </c>
      <c r="AA61" s="16" t="s">
        <v>88</v>
      </c>
    </row>
    <row r="62" spans="1:27" x14ac:dyDescent="0.25">
      <c r="A62" s="15" t="s">
        <v>284</v>
      </c>
      <c r="B62" s="5">
        <v>45828</v>
      </c>
      <c r="C62" s="5" t="str">
        <f>TEXT(Table1[[#This Row],[Date]],"mmmm")</f>
        <v>June</v>
      </c>
      <c r="D62" s="2" t="s">
        <v>57</v>
      </c>
      <c r="E62" s="2" t="s">
        <v>58</v>
      </c>
      <c r="F62" s="2" t="s">
        <v>176</v>
      </c>
      <c r="G62" s="2" t="s">
        <v>105</v>
      </c>
      <c r="H62" s="2" t="s">
        <v>77</v>
      </c>
      <c r="I62" s="28">
        <v>0.30208333333333331</v>
      </c>
      <c r="J62" s="28">
        <v>0.63958333333333328</v>
      </c>
      <c r="K62" s="3">
        <v>526</v>
      </c>
      <c r="L62" s="6">
        <v>8.1</v>
      </c>
      <c r="M62" s="2" t="s">
        <v>120</v>
      </c>
      <c r="N62" s="9">
        <v>289</v>
      </c>
      <c r="O62" s="7">
        <v>86.7</v>
      </c>
      <c r="P62" s="36">
        <v>82365</v>
      </c>
      <c r="Q62" s="36">
        <f>Table1[[#This Row],[Fuel Cost (NGN)]]/Table1[[#This Row],[Distance (km)]]</f>
        <v>156.58745247148289</v>
      </c>
      <c r="R62" s="45">
        <v>6.0668973471741632</v>
      </c>
      <c r="S62" s="49">
        <v>354.20415224913495</v>
      </c>
      <c r="T62" s="36">
        <v>10000</v>
      </c>
      <c r="U62" s="36">
        <v>0</v>
      </c>
      <c r="V62" s="36">
        <v>10000</v>
      </c>
      <c r="W62" s="36" t="s">
        <v>427</v>
      </c>
      <c r="X62" s="36">
        <v>102365</v>
      </c>
      <c r="Y62" s="36" t="str">
        <f>IF(OR(Table1[[#This Row],[Trip Status]]="Failed",Table1[[#This Row],[Trip Status]]="Delayed"),"Issue","Normal")</f>
        <v>Issue</v>
      </c>
      <c r="Z62" s="2" t="s">
        <v>236</v>
      </c>
      <c r="AA62" s="16" t="s">
        <v>32</v>
      </c>
    </row>
    <row r="63" spans="1:27" x14ac:dyDescent="0.25">
      <c r="A63" s="15" t="s">
        <v>286</v>
      </c>
      <c r="B63" s="5">
        <v>45900</v>
      </c>
      <c r="C63" s="5" t="str">
        <f>TEXT(Table1[[#This Row],[Date]],"mmmm")</f>
        <v>August</v>
      </c>
      <c r="D63" s="2" t="s">
        <v>74</v>
      </c>
      <c r="E63" s="2" t="s">
        <v>75</v>
      </c>
      <c r="F63" s="2" t="s">
        <v>171</v>
      </c>
      <c r="G63" s="2" t="s">
        <v>172</v>
      </c>
      <c r="H63" s="2" t="s">
        <v>77</v>
      </c>
      <c r="I63" s="28">
        <v>0.28125</v>
      </c>
      <c r="J63" s="28">
        <v>0.56458333333333333</v>
      </c>
      <c r="K63" s="3">
        <v>455</v>
      </c>
      <c r="L63" s="6">
        <v>6.8</v>
      </c>
      <c r="M63" s="2" t="s">
        <v>42</v>
      </c>
      <c r="N63" s="9">
        <v>389</v>
      </c>
      <c r="O63" s="7">
        <v>74.5</v>
      </c>
      <c r="P63" s="36">
        <v>70775</v>
      </c>
      <c r="Q63" s="36">
        <f>Table1[[#This Row],[Fuel Cost (NGN)]]/Table1[[#This Row],[Distance (km)]]</f>
        <v>155.54945054945054</v>
      </c>
      <c r="R63" s="45">
        <v>6.1073825503355703</v>
      </c>
      <c r="S63" s="49">
        <v>310.47557840616969</v>
      </c>
      <c r="T63" s="36">
        <v>10000</v>
      </c>
      <c r="U63" s="36">
        <v>0</v>
      </c>
      <c r="V63" s="36">
        <v>40000</v>
      </c>
      <c r="W63" s="36" t="s">
        <v>427</v>
      </c>
      <c r="X63" s="36">
        <v>120775</v>
      </c>
      <c r="Y63" s="36" t="str">
        <f>IF(OR(Table1[[#This Row],[Trip Status]]="Failed",Table1[[#This Row],[Trip Status]]="Delayed"),"Issue","Normal")</f>
        <v>Normal</v>
      </c>
      <c r="Z63" s="2" t="s">
        <v>87</v>
      </c>
      <c r="AA63" s="16" t="s">
        <v>88</v>
      </c>
    </row>
    <row r="64" spans="1:27" x14ac:dyDescent="0.25">
      <c r="A64" s="15" t="s">
        <v>289</v>
      </c>
      <c r="B64" s="5">
        <v>45665</v>
      </c>
      <c r="C64" s="5" t="str">
        <f>TEXT(Table1[[#This Row],[Date]],"mmmm")</f>
        <v>January</v>
      </c>
      <c r="D64" s="2" t="s">
        <v>74</v>
      </c>
      <c r="E64" s="2" t="s">
        <v>75</v>
      </c>
      <c r="F64" s="2" t="s">
        <v>91</v>
      </c>
      <c r="G64" s="2" t="s">
        <v>77</v>
      </c>
      <c r="H64" s="2" t="s">
        <v>51</v>
      </c>
      <c r="I64" s="28">
        <v>0.25</v>
      </c>
      <c r="J64" s="28">
        <v>0.87083333333333324</v>
      </c>
      <c r="K64" s="3">
        <v>730</v>
      </c>
      <c r="L64" s="6">
        <v>14.9</v>
      </c>
      <c r="M64" s="2" t="s">
        <v>30</v>
      </c>
      <c r="N64" s="9">
        <v>457</v>
      </c>
      <c r="O64" s="7">
        <v>134</v>
      </c>
      <c r="P64" s="36">
        <v>127300</v>
      </c>
      <c r="Q64" s="36">
        <f>Table1[[#This Row],[Fuel Cost (NGN)]]/Table1[[#This Row],[Distance (km)]]</f>
        <v>174.38356164383561</v>
      </c>
      <c r="R64" s="45">
        <v>5.4477611940298507</v>
      </c>
      <c r="S64" s="49">
        <v>389.05908096280086</v>
      </c>
      <c r="T64" s="36">
        <v>8000</v>
      </c>
      <c r="U64" s="36">
        <v>2500</v>
      </c>
      <c r="V64" s="36">
        <v>40000</v>
      </c>
      <c r="W64" s="36" t="s">
        <v>427</v>
      </c>
      <c r="X64" s="36">
        <v>177800</v>
      </c>
      <c r="Y64" s="36" t="str">
        <f>IF(OR(Table1[[#This Row],[Trip Status]]="Failed",Table1[[#This Row],[Trip Status]]="Delayed"),"Issue","Normal")</f>
        <v>Normal</v>
      </c>
      <c r="Z64" s="2" t="s">
        <v>87</v>
      </c>
      <c r="AA64" s="16" t="s">
        <v>88</v>
      </c>
    </row>
    <row r="65" spans="1:27" x14ac:dyDescent="0.25">
      <c r="A65" s="15" t="s">
        <v>292</v>
      </c>
      <c r="B65" s="5">
        <v>45820</v>
      </c>
      <c r="C65" s="5" t="str">
        <f>TEXT(Table1[[#This Row],[Date]],"mmmm")</f>
        <v>June</v>
      </c>
      <c r="D65" s="2" t="s">
        <v>142</v>
      </c>
      <c r="E65" s="2" t="s">
        <v>143</v>
      </c>
      <c r="F65" s="2" t="s">
        <v>59</v>
      </c>
      <c r="G65" s="2" t="s">
        <v>84</v>
      </c>
      <c r="H65" s="2" t="s">
        <v>172</v>
      </c>
      <c r="I65" s="28">
        <v>0.375</v>
      </c>
      <c r="J65" s="28">
        <v>0.77916666666666667</v>
      </c>
      <c r="K65" s="3">
        <v>559</v>
      </c>
      <c r="L65" s="6">
        <v>9.6999999999999993</v>
      </c>
      <c r="M65" s="2" t="s">
        <v>94</v>
      </c>
      <c r="N65" s="9">
        <v>282</v>
      </c>
      <c r="O65" s="7">
        <v>97.4</v>
      </c>
      <c r="P65" s="36">
        <v>92530</v>
      </c>
      <c r="Q65" s="36">
        <f>Table1[[#This Row],[Fuel Cost (NGN)]]/Table1[[#This Row],[Distance (km)]]</f>
        <v>165.52772808586761</v>
      </c>
      <c r="R65" s="45">
        <v>5.7392197125256672</v>
      </c>
      <c r="S65" s="49">
        <v>363.58156028368796</v>
      </c>
      <c r="T65" s="36">
        <v>10000</v>
      </c>
      <c r="U65" s="36">
        <v>0</v>
      </c>
      <c r="V65" s="36">
        <v>0</v>
      </c>
      <c r="W65" s="36" t="s">
        <v>428</v>
      </c>
      <c r="X65" s="36">
        <v>102530</v>
      </c>
      <c r="Y65" s="36" t="str">
        <f>IF(OR(Table1[[#This Row],[Trip Status]]="Failed",Table1[[#This Row],[Trip Status]]="Delayed"),"Issue","Normal")</f>
        <v>Normal</v>
      </c>
      <c r="Z65" s="2" t="s">
        <v>87</v>
      </c>
      <c r="AA65" s="16" t="s">
        <v>88</v>
      </c>
    </row>
    <row r="66" spans="1:27" x14ac:dyDescent="0.25">
      <c r="A66" s="15" t="s">
        <v>295</v>
      </c>
      <c r="B66" s="5">
        <v>45743</v>
      </c>
      <c r="C66" s="5" t="str">
        <f>TEXT(Table1[[#This Row],[Date]],"mmmm")</f>
        <v>March</v>
      </c>
      <c r="D66" s="2" t="s">
        <v>74</v>
      </c>
      <c r="E66" s="2" t="s">
        <v>75</v>
      </c>
      <c r="F66" s="2" t="s">
        <v>67</v>
      </c>
      <c r="G66" s="2" t="s">
        <v>84</v>
      </c>
      <c r="H66" s="2" t="s">
        <v>92</v>
      </c>
      <c r="I66" s="28">
        <v>0.29166666666666669</v>
      </c>
      <c r="J66" s="28">
        <v>0.39166666666666666</v>
      </c>
      <c r="K66" s="3">
        <v>107</v>
      </c>
      <c r="L66" s="6">
        <v>2.4</v>
      </c>
      <c r="M66" s="2" t="s">
        <v>54</v>
      </c>
      <c r="N66" s="9">
        <v>300</v>
      </c>
      <c r="O66" s="7">
        <v>21</v>
      </c>
      <c r="P66" s="36">
        <v>19950</v>
      </c>
      <c r="Q66" s="36">
        <f>Table1[[#This Row],[Fuel Cost (NGN)]]/Table1[[#This Row],[Distance (km)]]</f>
        <v>186.44859813084113</v>
      </c>
      <c r="R66" s="45">
        <v>5.0952380952380949</v>
      </c>
      <c r="S66" s="49">
        <v>114.83333333333333</v>
      </c>
      <c r="T66" s="36">
        <v>12000</v>
      </c>
      <c r="U66" s="36">
        <v>2500</v>
      </c>
      <c r="V66" s="36">
        <v>0</v>
      </c>
      <c r="W66" s="36" t="s">
        <v>428</v>
      </c>
      <c r="X66" s="36">
        <v>34450</v>
      </c>
      <c r="Y66" s="36" t="str">
        <f>IF(OR(Table1[[#This Row],[Trip Status]]="Failed",Table1[[#This Row],[Trip Status]]="Delayed"),"Issue","Normal")</f>
        <v>Normal</v>
      </c>
      <c r="Z66" s="2" t="s">
        <v>87</v>
      </c>
      <c r="AA66" s="16" t="s">
        <v>88</v>
      </c>
    </row>
    <row r="67" spans="1:27" x14ac:dyDescent="0.25">
      <c r="A67" s="15" t="s">
        <v>297</v>
      </c>
      <c r="B67" s="5">
        <v>45747</v>
      </c>
      <c r="C67" s="5" t="str">
        <f>TEXT(Table1[[#This Row],[Date]],"mmmm")</f>
        <v>March</v>
      </c>
      <c r="D67" s="2" t="s">
        <v>47</v>
      </c>
      <c r="E67" s="2" t="s">
        <v>48</v>
      </c>
      <c r="F67" s="2" t="s">
        <v>76</v>
      </c>
      <c r="G67" s="2" t="s">
        <v>51</v>
      </c>
      <c r="H67" s="2" t="s">
        <v>77</v>
      </c>
      <c r="I67" s="28">
        <v>0.28125</v>
      </c>
      <c r="J67" s="28">
        <v>0.73125000000000007</v>
      </c>
      <c r="K67" s="3">
        <v>694</v>
      </c>
      <c r="L67" s="6">
        <v>10.8</v>
      </c>
      <c r="M67" s="2" t="s">
        <v>71</v>
      </c>
      <c r="N67" s="9">
        <v>310</v>
      </c>
      <c r="O67" s="7">
        <v>142.30000000000001</v>
      </c>
      <c r="P67" s="36">
        <v>135185</v>
      </c>
      <c r="Q67" s="36">
        <f>Table1[[#This Row],[Fuel Cost (NGN)]]/Table1[[#This Row],[Distance (km)]]</f>
        <v>194.79106628242076</v>
      </c>
      <c r="R67" s="45">
        <v>4.8770203794799718</v>
      </c>
      <c r="S67" s="49">
        <v>473.17741935483872</v>
      </c>
      <c r="T67" s="36">
        <v>5000</v>
      </c>
      <c r="U67" s="36">
        <v>1500</v>
      </c>
      <c r="V67" s="36">
        <v>5000</v>
      </c>
      <c r="W67" s="36" t="s">
        <v>427</v>
      </c>
      <c r="X67" s="36">
        <v>146685</v>
      </c>
      <c r="Y67" s="36" t="str">
        <f>IF(OR(Table1[[#This Row],[Trip Status]]="Failed",Table1[[#This Row],[Trip Status]]="Delayed"),"Issue","Normal")</f>
        <v>Issue</v>
      </c>
      <c r="Z67" s="2" t="s">
        <v>236</v>
      </c>
      <c r="AA67" s="16" t="s">
        <v>32</v>
      </c>
    </row>
    <row r="68" spans="1:27" x14ac:dyDescent="0.25">
      <c r="A68" s="15" t="s">
        <v>299</v>
      </c>
      <c r="B68" s="5">
        <v>45738</v>
      </c>
      <c r="C68" s="5" t="str">
        <f>TEXT(Table1[[#This Row],[Date]],"mmmm")</f>
        <v>March</v>
      </c>
      <c r="D68" s="2" t="s">
        <v>47</v>
      </c>
      <c r="E68" s="2" t="s">
        <v>48</v>
      </c>
      <c r="F68" s="2" t="s">
        <v>25</v>
      </c>
      <c r="G68" s="2" t="s">
        <v>112</v>
      </c>
      <c r="H68" s="2" t="s">
        <v>26</v>
      </c>
      <c r="I68" s="28">
        <v>0.35416666666666669</v>
      </c>
      <c r="J68" s="28">
        <v>0.64166666666666672</v>
      </c>
      <c r="K68" s="3">
        <v>366</v>
      </c>
      <c r="L68" s="6">
        <v>6.9</v>
      </c>
      <c r="M68" s="2" t="s">
        <v>120</v>
      </c>
      <c r="N68" s="9">
        <v>544</v>
      </c>
      <c r="O68" s="7">
        <v>95.8</v>
      </c>
      <c r="P68" s="36">
        <v>91010</v>
      </c>
      <c r="Q68" s="36">
        <f>Table1[[#This Row],[Fuel Cost (NGN)]]/Table1[[#This Row],[Distance (km)]]</f>
        <v>248.66120218579235</v>
      </c>
      <c r="R68" s="45">
        <v>3.8204592901878915</v>
      </c>
      <c r="S68" s="49">
        <v>207.7389705882353</v>
      </c>
      <c r="T68" s="36">
        <v>10000</v>
      </c>
      <c r="U68" s="36">
        <v>2000</v>
      </c>
      <c r="V68" s="36">
        <v>10000</v>
      </c>
      <c r="W68" s="36" t="s">
        <v>427</v>
      </c>
      <c r="X68" s="36">
        <v>113010</v>
      </c>
      <c r="Y68" s="36" t="str">
        <f>IF(OR(Table1[[#This Row],[Trip Status]]="Failed",Table1[[#This Row],[Trip Status]]="Delayed"),"Issue","Normal")</f>
        <v>Issue</v>
      </c>
      <c r="Z68" s="2" t="s">
        <v>31</v>
      </c>
      <c r="AA68" s="16" t="s">
        <v>32</v>
      </c>
    </row>
    <row r="69" spans="1:27" x14ac:dyDescent="0.25">
      <c r="A69" s="15" t="s">
        <v>301</v>
      </c>
      <c r="B69" s="5">
        <v>45809</v>
      </c>
      <c r="C69" s="5" t="str">
        <f>TEXT(Table1[[#This Row],[Date]],"mmmm")</f>
        <v>June</v>
      </c>
      <c r="D69" s="2" t="s">
        <v>74</v>
      </c>
      <c r="E69" s="2" t="s">
        <v>75</v>
      </c>
      <c r="F69" s="2" t="s">
        <v>67</v>
      </c>
      <c r="G69" s="2" t="s">
        <v>92</v>
      </c>
      <c r="H69" s="2" t="s">
        <v>51</v>
      </c>
      <c r="I69" s="28">
        <v>0.35416666666666669</v>
      </c>
      <c r="J69" s="28">
        <v>8.3333333333333329E-2</v>
      </c>
      <c r="K69" s="3">
        <v>734</v>
      </c>
      <c r="L69" s="6">
        <v>17.5</v>
      </c>
      <c r="M69" s="2" t="s">
        <v>86</v>
      </c>
      <c r="N69" s="9">
        <v>558</v>
      </c>
      <c r="O69" s="7">
        <v>122.4</v>
      </c>
      <c r="P69" s="36">
        <v>116280</v>
      </c>
      <c r="Q69" s="36">
        <f>Table1[[#This Row],[Fuel Cost (NGN)]]/Table1[[#This Row],[Distance (km)]]</f>
        <v>158.41961852861036</v>
      </c>
      <c r="R69" s="45">
        <v>5.9967320261437909</v>
      </c>
      <c r="S69" s="49">
        <v>241.54121863799284</v>
      </c>
      <c r="T69" s="36">
        <v>8000</v>
      </c>
      <c r="U69" s="36">
        <v>500</v>
      </c>
      <c r="V69" s="36">
        <v>10000</v>
      </c>
      <c r="W69" s="36" t="s">
        <v>427</v>
      </c>
      <c r="X69" s="36">
        <v>134780</v>
      </c>
      <c r="Y69" s="36" t="str">
        <f>IF(OR(Table1[[#This Row],[Trip Status]]="Failed",Table1[[#This Row],[Trip Status]]="Delayed"),"Issue","Normal")</f>
        <v>Normal</v>
      </c>
      <c r="Z69" s="2" t="s">
        <v>87</v>
      </c>
      <c r="AA69" s="16" t="s">
        <v>88</v>
      </c>
    </row>
    <row r="70" spans="1:27" x14ac:dyDescent="0.25">
      <c r="A70" s="15" t="s">
        <v>304</v>
      </c>
      <c r="B70" s="5">
        <v>45755</v>
      </c>
      <c r="C70" s="5" t="str">
        <f>TEXT(Table1[[#This Row],[Date]],"mmmm")</f>
        <v>April</v>
      </c>
      <c r="D70" s="2" t="s">
        <v>81</v>
      </c>
      <c r="E70" s="2" t="s">
        <v>82</v>
      </c>
      <c r="F70" s="2" t="s">
        <v>67</v>
      </c>
      <c r="G70" s="2" t="s">
        <v>125</v>
      </c>
      <c r="H70" s="2" t="s">
        <v>172</v>
      </c>
      <c r="I70" s="28">
        <v>0.25</v>
      </c>
      <c r="J70" s="28">
        <v>0.80833333333333324</v>
      </c>
      <c r="K70" s="3">
        <v>798</v>
      </c>
      <c r="L70" s="6">
        <v>13.4</v>
      </c>
      <c r="M70" s="2" t="s">
        <v>94</v>
      </c>
      <c r="N70" s="9">
        <v>501</v>
      </c>
      <c r="O70" s="7">
        <v>221.7</v>
      </c>
      <c r="P70" s="36">
        <v>210615</v>
      </c>
      <c r="Q70" s="36">
        <f>Table1[[#This Row],[Fuel Cost (NGN)]]/Table1[[#This Row],[Distance (km)]]</f>
        <v>263.92857142857144</v>
      </c>
      <c r="R70" s="45">
        <v>3.5994587280108257</v>
      </c>
      <c r="S70" s="49">
        <v>441.34730538922156</v>
      </c>
      <c r="T70" s="36">
        <v>8000</v>
      </c>
      <c r="U70" s="36">
        <v>2500</v>
      </c>
      <c r="V70" s="36">
        <v>0</v>
      </c>
      <c r="W70" s="36" t="s">
        <v>428</v>
      </c>
      <c r="X70" s="36">
        <v>221115</v>
      </c>
      <c r="Y70" s="36" t="str">
        <f>IF(OR(Table1[[#This Row],[Trip Status]]="Failed",Table1[[#This Row],[Trip Status]]="Delayed"),"Issue","Normal")</f>
        <v>Normal</v>
      </c>
      <c r="Z70" s="2" t="s">
        <v>87</v>
      </c>
      <c r="AA70" s="16" t="s">
        <v>88</v>
      </c>
    </row>
    <row r="71" spans="1:27" x14ac:dyDescent="0.25">
      <c r="A71" s="15" t="s">
        <v>306</v>
      </c>
      <c r="B71" s="5">
        <v>45809</v>
      </c>
      <c r="C71" s="5" t="str">
        <f>TEXT(Table1[[#This Row],[Date]],"mmmm")</f>
        <v>June</v>
      </c>
      <c r="D71" s="2" t="s">
        <v>216</v>
      </c>
      <c r="E71" s="2" t="s">
        <v>217</v>
      </c>
      <c r="F71" s="2" t="s">
        <v>59</v>
      </c>
      <c r="G71" s="2" t="s">
        <v>77</v>
      </c>
      <c r="H71" s="2" t="s">
        <v>60</v>
      </c>
      <c r="I71" s="28">
        <v>0.27083333333333331</v>
      </c>
      <c r="J71" s="28">
        <v>0.52500000000000002</v>
      </c>
      <c r="K71" s="3">
        <v>265</v>
      </c>
      <c r="L71" s="6">
        <v>6.1</v>
      </c>
      <c r="M71" s="2" t="s">
        <v>54</v>
      </c>
      <c r="N71" s="9">
        <v>313</v>
      </c>
      <c r="O71" s="7">
        <v>42.5</v>
      </c>
      <c r="P71" s="36">
        <v>40375</v>
      </c>
      <c r="Q71" s="36">
        <f>Table1[[#This Row],[Fuel Cost (NGN)]]/Table1[[#This Row],[Distance (km)]]</f>
        <v>152.35849056603774</v>
      </c>
      <c r="R71" s="45">
        <v>6.2352941176470589</v>
      </c>
      <c r="S71" s="49">
        <v>196.08626198083067</v>
      </c>
      <c r="T71" s="36">
        <v>10000</v>
      </c>
      <c r="U71" s="36">
        <v>1000</v>
      </c>
      <c r="V71" s="36">
        <v>10000</v>
      </c>
      <c r="W71" s="36" t="s">
        <v>427</v>
      </c>
      <c r="X71" s="36">
        <v>61375</v>
      </c>
      <c r="Y71" s="36" t="str">
        <f>IF(OR(Table1[[#This Row],[Trip Status]]="Failed",Table1[[#This Row],[Trip Status]]="Delayed"),"Issue","Normal")</f>
        <v>Normal</v>
      </c>
      <c r="Z71" s="2" t="s">
        <v>43</v>
      </c>
      <c r="AA71" s="16" t="s">
        <v>44</v>
      </c>
    </row>
    <row r="72" spans="1:27" x14ac:dyDescent="0.25">
      <c r="A72" s="15" t="s">
        <v>308</v>
      </c>
      <c r="B72" s="5">
        <v>45716</v>
      </c>
      <c r="C72" s="5" t="str">
        <f>TEXT(Table1[[#This Row],[Date]],"mmmm")</f>
        <v>February</v>
      </c>
      <c r="D72" s="2" t="s">
        <v>239</v>
      </c>
      <c r="E72" s="2" t="s">
        <v>240</v>
      </c>
      <c r="F72" s="2" t="s">
        <v>83</v>
      </c>
      <c r="G72" s="2" t="s">
        <v>60</v>
      </c>
      <c r="H72" s="2" t="s">
        <v>172</v>
      </c>
      <c r="I72" s="28">
        <v>0.35416666666666669</v>
      </c>
      <c r="J72" s="28">
        <v>0.67499999999999993</v>
      </c>
      <c r="K72" s="3">
        <v>345</v>
      </c>
      <c r="L72" s="6">
        <v>7.7</v>
      </c>
      <c r="M72" s="2" t="s">
        <v>94</v>
      </c>
      <c r="N72" s="9">
        <v>599</v>
      </c>
      <c r="O72" s="7">
        <v>89.1</v>
      </c>
      <c r="P72" s="36">
        <v>84645</v>
      </c>
      <c r="Q72" s="36">
        <f>Table1[[#This Row],[Fuel Cost (NGN)]]/Table1[[#This Row],[Distance (km)]]</f>
        <v>245.34782608695653</v>
      </c>
      <c r="R72" s="45">
        <v>3.8720538720538724</v>
      </c>
      <c r="S72" s="49">
        <v>167.18697829716194</v>
      </c>
      <c r="T72" s="36">
        <v>8000</v>
      </c>
      <c r="U72" s="36">
        <v>2500</v>
      </c>
      <c r="V72" s="36">
        <v>5000</v>
      </c>
      <c r="W72" s="36" t="s">
        <v>427</v>
      </c>
      <c r="X72" s="36">
        <v>100145</v>
      </c>
      <c r="Y72" s="36" t="str">
        <f>IF(OR(Table1[[#This Row],[Trip Status]]="Failed",Table1[[#This Row],[Trip Status]]="Delayed"),"Issue","Normal")</f>
        <v>Issue</v>
      </c>
      <c r="Z72" s="2" t="s">
        <v>31</v>
      </c>
      <c r="AA72" s="16" t="s">
        <v>32</v>
      </c>
    </row>
    <row r="73" spans="1:27" x14ac:dyDescent="0.25">
      <c r="A73" s="15" t="s">
        <v>310</v>
      </c>
      <c r="B73" s="5">
        <v>45853</v>
      </c>
      <c r="C73" s="5" t="str">
        <f>TEXT(Table1[[#This Row],[Date]],"mmmm")</f>
        <v>July</v>
      </c>
      <c r="D73" s="2" t="s">
        <v>123</v>
      </c>
      <c r="E73" s="2" t="s">
        <v>124</v>
      </c>
      <c r="F73" s="2" t="s">
        <v>104</v>
      </c>
      <c r="G73" s="2" t="s">
        <v>112</v>
      </c>
      <c r="H73" s="2" t="s">
        <v>68</v>
      </c>
      <c r="I73" s="28">
        <v>0.28125</v>
      </c>
      <c r="J73" s="28">
        <v>2.2916666666666669E-2</v>
      </c>
      <c r="K73" s="3">
        <v>751</v>
      </c>
      <c r="L73" s="6">
        <v>17.8</v>
      </c>
      <c r="M73" s="2" t="s">
        <v>62</v>
      </c>
      <c r="N73" s="9">
        <v>385</v>
      </c>
      <c r="O73" s="7">
        <v>120.2</v>
      </c>
      <c r="P73" s="36">
        <v>114190</v>
      </c>
      <c r="Q73" s="36">
        <f>Table1[[#This Row],[Fuel Cost (NGN)]]/Table1[[#This Row],[Distance (km)]]</f>
        <v>152.05059920106524</v>
      </c>
      <c r="R73" s="45">
        <v>6.2479201331114806</v>
      </c>
      <c r="S73" s="49">
        <v>321.27272727272725</v>
      </c>
      <c r="T73" s="36">
        <v>7000</v>
      </c>
      <c r="U73" s="36">
        <v>2500</v>
      </c>
      <c r="V73" s="36">
        <v>0</v>
      </c>
      <c r="W73" s="36" t="s">
        <v>428</v>
      </c>
      <c r="X73" s="36">
        <v>123690</v>
      </c>
      <c r="Y73" s="36" t="str">
        <f>IF(OR(Table1[[#This Row],[Trip Status]]="Failed",Table1[[#This Row],[Trip Status]]="Delayed"),"Issue","Normal")</f>
        <v>Issue</v>
      </c>
      <c r="Z73" s="2" t="s">
        <v>236</v>
      </c>
      <c r="AA73" s="16" t="s">
        <v>32</v>
      </c>
    </row>
    <row r="74" spans="1:27" x14ac:dyDescent="0.25">
      <c r="A74" s="15" t="s">
        <v>313</v>
      </c>
      <c r="B74" s="5">
        <v>45895</v>
      </c>
      <c r="C74" s="5" t="str">
        <f>TEXT(Table1[[#This Row],[Date]],"mmmm")</f>
        <v>August</v>
      </c>
      <c r="D74" s="2" t="s">
        <v>155</v>
      </c>
      <c r="E74" s="2" t="s">
        <v>156</v>
      </c>
      <c r="F74" s="2" t="s">
        <v>59</v>
      </c>
      <c r="G74" s="2" t="s">
        <v>27</v>
      </c>
      <c r="H74" s="2" t="s">
        <v>125</v>
      </c>
      <c r="I74" s="28">
        <v>0.21875</v>
      </c>
      <c r="J74" s="28">
        <v>0.30208333333333331</v>
      </c>
      <c r="K74" s="3">
        <v>60</v>
      </c>
      <c r="L74" s="6">
        <v>2</v>
      </c>
      <c r="M74" s="2" t="s">
        <v>128</v>
      </c>
      <c r="N74" s="9">
        <v>149</v>
      </c>
      <c r="O74" s="7">
        <v>14.3</v>
      </c>
      <c r="P74" s="36">
        <v>13585</v>
      </c>
      <c r="Q74" s="36">
        <f>Table1[[#This Row],[Fuel Cost (NGN)]]/Table1[[#This Row],[Distance (km)]]</f>
        <v>226.41666666666666</v>
      </c>
      <c r="R74" s="45">
        <v>4.1958041958041958</v>
      </c>
      <c r="S74" s="49">
        <v>275.73825503355704</v>
      </c>
      <c r="T74" s="36">
        <v>12000</v>
      </c>
      <c r="U74" s="36">
        <v>500</v>
      </c>
      <c r="V74" s="36">
        <v>15000</v>
      </c>
      <c r="W74" s="36" t="s">
        <v>427</v>
      </c>
      <c r="X74" s="36">
        <v>41085</v>
      </c>
      <c r="Y74" s="36" t="str">
        <f>IF(OR(Table1[[#This Row],[Trip Status]]="Failed",Table1[[#This Row],[Trip Status]]="Delayed"),"Issue","Normal")</f>
        <v>Normal</v>
      </c>
      <c r="Z74" s="2" t="s">
        <v>87</v>
      </c>
      <c r="AA74" s="16" t="s">
        <v>88</v>
      </c>
    </row>
    <row r="75" spans="1:27" x14ac:dyDescent="0.25">
      <c r="A75" s="15" t="s">
        <v>315</v>
      </c>
      <c r="B75" s="5">
        <v>45847</v>
      </c>
      <c r="C75" s="5" t="str">
        <f>TEXT(Table1[[#This Row],[Date]],"mmmm")</f>
        <v>July</v>
      </c>
      <c r="D75" s="2" t="s">
        <v>142</v>
      </c>
      <c r="E75" s="2" t="s">
        <v>143</v>
      </c>
      <c r="F75" s="2" t="s">
        <v>59</v>
      </c>
      <c r="G75" s="2" t="s">
        <v>38</v>
      </c>
      <c r="H75" s="2" t="s">
        <v>105</v>
      </c>
      <c r="I75" s="28">
        <v>0.38541666666666669</v>
      </c>
      <c r="J75" s="28">
        <v>0.74375000000000002</v>
      </c>
      <c r="K75" s="3">
        <v>489</v>
      </c>
      <c r="L75" s="6">
        <v>8.6</v>
      </c>
      <c r="M75" s="2" t="s">
        <v>71</v>
      </c>
      <c r="N75" s="9">
        <v>467</v>
      </c>
      <c r="O75" s="7">
        <v>77.400000000000006</v>
      </c>
      <c r="P75" s="36">
        <v>73530</v>
      </c>
      <c r="Q75" s="36">
        <f>Table1[[#This Row],[Fuel Cost (NGN)]]/Table1[[#This Row],[Distance (km)]]</f>
        <v>150.3680981595092</v>
      </c>
      <c r="R75" s="45">
        <v>6.3178294573643408</v>
      </c>
      <c r="S75" s="49">
        <v>195.99571734475376</v>
      </c>
      <c r="T75" s="36">
        <v>8000</v>
      </c>
      <c r="U75" s="36">
        <v>0</v>
      </c>
      <c r="V75" s="36">
        <v>10000</v>
      </c>
      <c r="W75" s="36" t="s">
        <v>427</v>
      </c>
      <c r="X75" s="36">
        <v>91530</v>
      </c>
      <c r="Y75" s="36" t="str">
        <f>IF(OR(Table1[[#This Row],[Trip Status]]="Failed",Table1[[#This Row],[Trip Status]]="Delayed"),"Issue","Normal")</f>
        <v>Normal</v>
      </c>
      <c r="Z75" s="2" t="s">
        <v>87</v>
      </c>
      <c r="AA75" s="16" t="s">
        <v>88</v>
      </c>
    </row>
    <row r="76" spans="1:27" x14ac:dyDescent="0.25">
      <c r="A76" s="15" t="s">
        <v>318</v>
      </c>
      <c r="B76" s="5">
        <v>45885</v>
      </c>
      <c r="C76" s="5" t="str">
        <f>TEXT(Table1[[#This Row],[Date]],"mmmm")</f>
        <v>August</v>
      </c>
      <c r="D76" s="2" t="s">
        <v>239</v>
      </c>
      <c r="E76" s="2" t="s">
        <v>240</v>
      </c>
      <c r="F76" s="2" t="s">
        <v>111</v>
      </c>
      <c r="G76" s="2" t="s">
        <v>51</v>
      </c>
      <c r="H76" s="2" t="s">
        <v>112</v>
      </c>
      <c r="I76" s="28">
        <v>0.3125</v>
      </c>
      <c r="J76" s="28">
        <v>0.45833333333333331</v>
      </c>
      <c r="K76" s="3">
        <v>161</v>
      </c>
      <c r="L76" s="6">
        <v>3.5</v>
      </c>
      <c r="M76" s="2" t="s">
        <v>128</v>
      </c>
      <c r="N76" s="9">
        <v>515</v>
      </c>
      <c r="O76" s="7">
        <v>42.6</v>
      </c>
      <c r="P76" s="36">
        <v>40470</v>
      </c>
      <c r="Q76" s="36">
        <f>Table1[[#This Row],[Fuel Cost (NGN)]]/Table1[[#This Row],[Distance (km)]]</f>
        <v>251.36645962732919</v>
      </c>
      <c r="R76" s="45">
        <v>3.7793427230046945</v>
      </c>
      <c r="S76" s="49">
        <v>97.029126213592235</v>
      </c>
      <c r="T76" s="36">
        <v>7000</v>
      </c>
      <c r="U76" s="36">
        <v>2500</v>
      </c>
      <c r="V76" s="36">
        <v>0</v>
      </c>
      <c r="W76" s="36" t="s">
        <v>428</v>
      </c>
      <c r="X76" s="36">
        <v>49970</v>
      </c>
      <c r="Y76" s="36" t="str">
        <f>IF(OR(Table1[[#This Row],[Trip Status]]="Failed",Table1[[#This Row],[Trip Status]]="Delayed"),"Issue","Normal")</f>
        <v>Normal</v>
      </c>
      <c r="Z76" s="2" t="s">
        <v>87</v>
      </c>
      <c r="AA76" s="16" t="s">
        <v>88</v>
      </c>
    </row>
    <row r="77" spans="1:27" x14ac:dyDescent="0.25">
      <c r="A77" s="15" t="s">
        <v>320</v>
      </c>
      <c r="B77" s="5">
        <v>45828</v>
      </c>
      <c r="C77" s="5" t="str">
        <f>TEXT(Table1[[#This Row],[Date]],"mmmm")</f>
        <v>June</v>
      </c>
      <c r="D77" s="2" t="s">
        <v>23</v>
      </c>
      <c r="E77" s="2" t="s">
        <v>24</v>
      </c>
      <c r="F77" s="2" t="s">
        <v>91</v>
      </c>
      <c r="G77" s="2" t="s">
        <v>172</v>
      </c>
      <c r="H77" s="2" t="s">
        <v>26</v>
      </c>
      <c r="I77" s="28">
        <v>0.21875</v>
      </c>
      <c r="J77" s="28">
        <v>0.46458333333333335</v>
      </c>
      <c r="K77" s="3">
        <v>270</v>
      </c>
      <c r="L77" s="6">
        <v>5.9</v>
      </c>
      <c r="M77" s="2" t="s">
        <v>108</v>
      </c>
      <c r="N77" s="9">
        <v>386</v>
      </c>
      <c r="O77" s="7">
        <v>46.4</v>
      </c>
      <c r="P77" s="36">
        <v>44080</v>
      </c>
      <c r="Q77" s="36">
        <f>Table1[[#This Row],[Fuel Cost (NGN)]]/Table1[[#This Row],[Distance (km)]]</f>
        <v>163.25925925925927</v>
      </c>
      <c r="R77" s="45">
        <v>5.8189655172413799</v>
      </c>
      <c r="S77" s="49">
        <v>158.23834196891193</v>
      </c>
      <c r="T77" s="36">
        <v>12000</v>
      </c>
      <c r="U77" s="36">
        <v>0</v>
      </c>
      <c r="V77" s="36">
        <v>5000</v>
      </c>
      <c r="W77" s="36" t="s">
        <v>427</v>
      </c>
      <c r="X77" s="36">
        <v>61080</v>
      </c>
      <c r="Y77" s="36" t="str">
        <f>IF(OR(Table1[[#This Row],[Trip Status]]="Failed",Table1[[#This Row],[Trip Status]]="Delayed"),"Issue","Normal")</f>
        <v>Normal</v>
      </c>
      <c r="Z77" s="2" t="s">
        <v>43</v>
      </c>
      <c r="AA77" s="16" t="s">
        <v>44</v>
      </c>
    </row>
    <row r="78" spans="1:27" x14ac:dyDescent="0.25">
      <c r="A78" s="15" t="s">
        <v>321</v>
      </c>
      <c r="B78" s="5">
        <v>45732</v>
      </c>
      <c r="C78" s="5" t="str">
        <f>TEXT(Table1[[#This Row],[Date]],"mmmm")</f>
        <v>March</v>
      </c>
      <c r="D78" s="2" t="s">
        <v>102</v>
      </c>
      <c r="E78" s="2" t="s">
        <v>103</v>
      </c>
      <c r="F78" s="2" t="s">
        <v>256</v>
      </c>
      <c r="G78" s="2" t="s">
        <v>27</v>
      </c>
      <c r="H78" s="2" t="s">
        <v>172</v>
      </c>
      <c r="I78" s="28">
        <v>0.20833333333333334</v>
      </c>
      <c r="J78" s="28">
        <v>0.42499999999999999</v>
      </c>
      <c r="K78" s="3">
        <v>238</v>
      </c>
      <c r="L78" s="6">
        <v>5.2</v>
      </c>
      <c r="M78" s="2" t="s">
        <v>108</v>
      </c>
      <c r="N78" s="9">
        <v>381</v>
      </c>
      <c r="O78" s="7">
        <v>67.099999999999994</v>
      </c>
      <c r="P78" s="36">
        <v>63745</v>
      </c>
      <c r="Q78" s="36">
        <f>Table1[[#This Row],[Fuel Cost (NGN)]]/Table1[[#This Row],[Distance (km)]]</f>
        <v>267.83613445378154</v>
      </c>
      <c r="R78" s="45">
        <v>3.5469448584202685</v>
      </c>
      <c r="S78" s="49">
        <v>188.30708661417322</v>
      </c>
      <c r="T78" s="36">
        <v>8000</v>
      </c>
      <c r="U78" s="36">
        <v>0</v>
      </c>
      <c r="V78" s="36">
        <v>0</v>
      </c>
      <c r="W78" s="36" t="s">
        <v>428</v>
      </c>
      <c r="X78" s="36">
        <v>71745</v>
      </c>
      <c r="Y78" s="36" t="str">
        <f>IF(OR(Table1[[#This Row],[Trip Status]]="Failed",Table1[[#This Row],[Trip Status]]="Delayed"),"Issue","Normal")</f>
        <v>Issue</v>
      </c>
      <c r="Z78" s="2" t="s">
        <v>236</v>
      </c>
      <c r="AA78" s="16" t="s">
        <v>32</v>
      </c>
    </row>
    <row r="79" spans="1:27" x14ac:dyDescent="0.25">
      <c r="A79" s="15" t="s">
        <v>323</v>
      </c>
      <c r="B79" s="5">
        <v>45873</v>
      </c>
      <c r="C79" s="5" t="str">
        <f>TEXT(Table1[[#This Row],[Date]],"mmmm")</f>
        <v>August</v>
      </c>
      <c r="D79" s="2" t="s">
        <v>57</v>
      </c>
      <c r="E79" s="2" t="s">
        <v>58</v>
      </c>
      <c r="F79" s="2" t="s">
        <v>83</v>
      </c>
      <c r="G79" s="2" t="s">
        <v>38</v>
      </c>
      <c r="H79" s="2" t="s">
        <v>68</v>
      </c>
      <c r="I79" s="28">
        <v>0.35416666666666669</v>
      </c>
      <c r="J79" s="28">
        <v>0.75416666666666676</v>
      </c>
      <c r="K79" s="3">
        <v>547</v>
      </c>
      <c r="L79" s="6">
        <v>9.6</v>
      </c>
      <c r="M79" s="2" t="s">
        <v>62</v>
      </c>
      <c r="N79" s="9">
        <v>276</v>
      </c>
      <c r="O79" s="7">
        <v>86.3</v>
      </c>
      <c r="P79" s="36">
        <v>81985</v>
      </c>
      <c r="Q79" s="36">
        <f>Table1[[#This Row],[Fuel Cost (NGN)]]/Table1[[#This Row],[Distance (km)]]</f>
        <v>149.88117001828152</v>
      </c>
      <c r="R79" s="45">
        <v>6.3383545770567791</v>
      </c>
      <c r="S79" s="49">
        <v>469.14855072463769</v>
      </c>
      <c r="T79" s="36">
        <v>5000</v>
      </c>
      <c r="U79" s="36">
        <v>2500</v>
      </c>
      <c r="V79" s="36">
        <v>40000</v>
      </c>
      <c r="W79" s="36" t="s">
        <v>427</v>
      </c>
      <c r="X79" s="36">
        <v>129485</v>
      </c>
      <c r="Y79" s="36" t="str">
        <f>IF(OR(Table1[[#This Row],[Trip Status]]="Failed",Table1[[#This Row],[Trip Status]]="Delayed"),"Issue","Normal")</f>
        <v>Normal</v>
      </c>
      <c r="Z79" s="2" t="s">
        <v>87</v>
      </c>
      <c r="AA79" s="16" t="s">
        <v>88</v>
      </c>
    </row>
    <row r="80" spans="1:27" x14ac:dyDescent="0.25">
      <c r="A80" s="15" t="s">
        <v>326</v>
      </c>
      <c r="B80" s="5">
        <v>45892</v>
      </c>
      <c r="C80" s="5" t="str">
        <f>TEXT(Table1[[#This Row],[Date]],"mmmm")</f>
        <v>August</v>
      </c>
      <c r="D80" s="2" t="s">
        <v>142</v>
      </c>
      <c r="E80" s="2" t="s">
        <v>143</v>
      </c>
      <c r="F80" s="2" t="s">
        <v>37</v>
      </c>
      <c r="G80" s="2" t="s">
        <v>92</v>
      </c>
      <c r="H80" s="2" t="s">
        <v>39</v>
      </c>
      <c r="I80" s="28">
        <v>0.33333333333333331</v>
      </c>
      <c r="J80" s="28">
        <v>0.74583333333333324</v>
      </c>
      <c r="K80" s="3">
        <v>471</v>
      </c>
      <c r="L80" s="6">
        <v>9.9</v>
      </c>
      <c r="M80" s="2" t="s">
        <v>128</v>
      </c>
      <c r="N80" s="9">
        <v>132</v>
      </c>
      <c r="O80" s="7">
        <v>105.5</v>
      </c>
      <c r="P80" s="36">
        <v>100225</v>
      </c>
      <c r="Q80" s="36">
        <f>Table1[[#This Row],[Fuel Cost (NGN)]]/Table1[[#This Row],[Distance (km)]]</f>
        <v>212.79193205944799</v>
      </c>
      <c r="R80" s="45">
        <v>4.4644549763033172</v>
      </c>
      <c r="S80" s="49">
        <v>812.31060606060601</v>
      </c>
      <c r="T80" s="36">
        <v>7000</v>
      </c>
      <c r="U80" s="36">
        <v>0</v>
      </c>
      <c r="V80" s="36">
        <v>0</v>
      </c>
      <c r="W80" s="36" t="s">
        <v>428</v>
      </c>
      <c r="X80" s="36">
        <v>107225</v>
      </c>
      <c r="Y80" s="36" t="str">
        <f>IF(OR(Table1[[#This Row],[Trip Status]]="Failed",Table1[[#This Row],[Trip Status]]="Delayed"),"Issue","Normal")</f>
        <v>Normal</v>
      </c>
      <c r="Z80" s="2" t="s">
        <v>87</v>
      </c>
      <c r="AA80" s="16" t="s">
        <v>88</v>
      </c>
    </row>
    <row r="81" spans="1:27" x14ac:dyDescent="0.25">
      <c r="A81" s="15" t="s">
        <v>329</v>
      </c>
      <c r="B81" s="5">
        <v>45824</v>
      </c>
      <c r="C81" s="5" t="str">
        <f>TEXT(Table1[[#This Row],[Date]],"mmmm")</f>
        <v>June</v>
      </c>
      <c r="D81" s="2" t="s">
        <v>65</v>
      </c>
      <c r="E81" s="2" t="s">
        <v>66</v>
      </c>
      <c r="F81" s="2" t="s">
        <v>76</v>
      </c>
      <c r="G81" s="2" t="s">
        <v>105</v>
      </c>
      <c r="H81" s="2" t="s">
        <v>27</v>
      </c>
      <c r="I81" s="28">
        <v>0.40625</v>
      </c>
      <c r="J81" s="28">
        <v>0.91041666666666676</v>
      </c>
      <c r="K81" s="3">
        <v>524</v>
      </c>
      <c r="L81" s="6">
        <v>12.1</v>
      </c>
      <c r="M81" s="2" t="s">
        <v>62</v>
      </c>
      <c r="N81" s="9">
        <v>270</v>
      </c>
      <c r="O81" s="7">
        <v>109.4</v>
      </c>
      <c r="P81" s="36">
        <v>103930</v>
      </c>
      <c r="Q81" s="36">
        <f>Table1[[#This Row],[Fuel Cost (NGN)]]/Table1[[#This Row],[Distance (km)]]</f>
        <v>198.33969465648855</v>
      </c>
      <c r="R81" s="45">
        <v>4.789762340036563</v>
      </c>
      <c r="S81" s="49">
        <v>453.44444444444446</v>
      </c>
      <c r="T81" s="36">
        <v>7000</v>
      </c>
      <c r="U81" s="36">
        <v>1500</v>
      </c>
      <c r="V81" s="36">
        <v>10000</v>
      </c>
      <c r="W81" s="36" t="s">
        <v>427</v>
      </c>
      <c r="X81" s="36">
        <v>122430</v>
      </c>
      <c r="Y81" s="36" t="str">
        <f>IF(OR(Table1[[#This Row],[Trip Status]]="Failed",Table1[[#This Row],[Trip Status]]="Delayed"),"Issue","Normal")</f>
        <v>Normal</v>
      </c>
      <c r="Z81" s="2" t="s">
        <v>43</v>
      </c>
      <c r="AA81" s="16" t="s">
        <v>44</v>
      </c>
    </row>
    <row r="82" spans="1:27" x14ac:dyDescent="0.25">
      <c r="A82" s="15" t="s">
        <v>332</v>
      </c>
      <c r="B82" s="5">
        <v>45890</v>
      </c>
      <c r="C82" s="5" t="str">
        <f>TEXT(Table1[[#This Row],[Date]],"mmmm")</f>
        <v>August</v>
      </c>
      <c r="D82" s="2" t="s">
        <v>65</v>
      </c>
      <c r="E82" s="2" t="s">
        <v>66</v>
      </c>
      <c r="F82" s="2" t="s">
        <v>186</v>
      </c>
      <c r="G82" s="2" t="s">
        <v>38</v>
      </c>
      <c r="H82" s="2" t="s">
        <v>68</v>
      </c>
      <c r="I82" s="28">
        <v>0.35416666666666669</v>
      </c>
      <c r="J82" s="28">
        <v>0.63750000000000007</v>
      </c>
      <c r="K82" s="3">
        <v>380</v>
      </c>
      <c r="L82" s="6">
        <v>6.8</v>
      </c>
      <c r="M82" s="2" t="s">
        <v>54</v>
      </c>
      <c r="N82" s="9">
        <v>535</v>
      </c>
      <c r="O82" s="7">
        <v>102.7</v>
      </c>
      <c r="P82" s="36">
        <v>97565</v>
      </c>
      <c r="Q82" s="36">
        <f>Table1[[#This Row],[Fuel Cost (NGN)]]/Table1[[#This Row],[Distance (km)]]</f>
        <v>256.75</v>
      </c>
      <c r="R82" s="45">
        <v>3.700097370983447</v>
      </c>
      <c r="S82" s="49">
        <v>219.74766355140187</v>
      </c>
      <c r="T82" s="36">
        <v>5000</v>
      </c>
      <c r="U82" s="36">
        <v>0</v>
      </c>
      <c r="V82" s="36">
        <v>15000</v>
      </c>
      <c r="W82" s="36" t="s">
        <v>427</v>
      </c>
      <c r="X82" s="36">
        <v>117565</v>
      </c>
      <c r="Y82" s="36" t="str">
        <f>IF(OR(Table1[[#This Row],[Trip Status]]="Failed",Table1[[#This Row],[Trip Status]]="Delayed"),"Issue","Normal")</f>
        <v>Normal</v>
      </c>
      <c r="Z82" s="2" t="s">
        <v>87</v>
      </c>
      <c r="AA82" s="16" t="s">
        <v>88</v>
      </c>
    </row>
    <row r="83" spans="1:27" x14ac:dyDescent="0.25">
      <c r="A83" s="15" t="s">
        <v>334</v>
      </c>
      <c r="B83" s="5">
        <v>45848</v>
      </c>
      <c r="C83" s="5" t="str">
        <f>TEXT(Table1[[#This Row],[Date]],"mmmm")</f>
        <v>July</v>
      </c>
      <c r="D83" s="2" t="s">
        <v>35</v>
      </c>
      <c r="E83" s="2" t="s">
        <v>36</v>
      </c>
      <c r="F83" s="2" t="s">
        <v>91</v>
      </c>
      <c r="G83" s="2" t="s">
        <v>105</v>
      </c>
      <c r="H83" s="2" t="s">
        <v>92</v>
      </c>
      <c r="I83" s="28">
        <v>0.39583333333333331</v>
      </c>
      <c r="J83" s="28">
        <v>0.87916666666666676</v>
      </c>
      <c r="K83" s="3">
        <v>660</v>
      </c>
      <c r="L83" s="6">
        <v>11.6</v>
      </c>
      <c r="M83" s="2" t="s">
        <v>120</v>
      </c>
      <c r="N83" s="9">
        <v>102</v>
      </c>
      <c r="O83" s="7">
        <v>103</v>
      </c>
      <c r="P83" s="36">
        <v>97850</v>
      </c>
      <c r="Q83" s="36">
        <f>Table1[[#This Row],[Fuel Cost (NGN)]]/Table1[[#This Row],[Distance (km)]]</f>
        <v>148.25757575757575</v>
      </c>
      <c r="R83" s="45">
        <v>6.407766990291262</v>
      </c>
      <c r="S83" s="49">
        <v>1184.8039215686274</v>
      </c>
      <c r="T83" s="36">
        <v>12000</v>
      </c>
      <c r="U83" s="36">
        <v>1000</v>
      </c>
      <c r="V83" s="36">
        <v>10000</v>
      </c>
      <c r="W83" s="36" t="s">
        <v>427</v>
      </c>
      <c r="X83" s="36">
        <v>120850</v>
      </c>
      <c r="Y83" s="36" t="str">
        <f>IF(OR(Table1[[#This Row],[Trip Status]]="Failed",Table1[[#This Row],[Trip Status]]="Delayed"),"Issue","Normal")</f>
        <v>Normal</v>
      </c>
      <c r="Z83" s="2" t="s">
        <v>87</v>
      </c>
      <c r="AA83" s="16" t="s">
        <v>88</v>
      </c>
    </row>
    <row r="84" spans="1:27" x14ac:dyDescent="0.25">
      <c r="A84" s="15" t="s">
        <v>336</v>
      </c>
      <c r="B84" s="5">
        <v>45917</v>
      </c>
      <c r="C84" s="5" t="str">
        <f>TEXT(Table1[[#This Row],[Date]],"mmmm")</f>
        <v>September</v>
      </c>
      <c r="D84" s="2" t="s">
        <v>23</v>
      </c>
      <c r="E84" s="2" t="s">
        <v>24</v>
      </c>
      <c r="F84" s="2" t="s">
        <v>91</v>
      </c>
      <c r="G84" s="2" t="s">
        <v>125</v>
      </c>
      <c r="H84" s="2" t="s">
        <v>39</v>
      </c>
      <c r="I84" s="28">
        <v>0.22916666666666666</v>
      </c>
      <c r="J84" s="28">
        <v>0.43333333333333335</v>
      </c>
      <c r="K84" s="3">
        <v>289</v>
      </c>
      <c r="L84" s="6">
        <v>4.9000000000000004</v>
      </c>
      <c r="M84" s="2" t="s">
        <v>94</v>
      </c>
      <c r="N84" s="9">
        <v>281</v>
      </c>
      <c r="O84" s="7">
        <v>48.8</v>
      </c>
      <c r="P84" s="36">
        <v>46360</v>
      </c>
      <c r="Q84" s="36">
        <f>Table1[[#This Row],[Fuel Cost (NGN)]]/Table1[[#This Row],[Distance (km)]]</f>
        <v>160.4152249134948</v>
      </c>
      <c r="R84" s="45">
        <v>5.9221311475409841</v>
      </c>
      <c r="S84" s="49">
        <v>357.15302491103205</v>
      </c>
      <c r="T84" s="36">
        <v>12000</v>
      </c>
      <c r="U84" s="36">
        <v>2000</v>
      </c>
      <c r="V84" s="36">
        <v>40000</v>
      </c>
      <c r="W84" s="36" t="s">
        <v>427</v>
      </c>
      <c r="X84" s="36">
        <v>100360</v>
      </c>
      <c r="Y84" s="36" t="str">
        <f>IF(OR(Table1[[#This Row],[Trip Status]]="Failed",Table1[[#This Row],[Trip Status]]="Delayed"),"Issue","Normal")</f>
        <v>Normal</v>
      </c>
      <c r="Z84" s="2" t="s">
        <v>87</v>
      </c>
      <c r="AA84" s="16" t="s">
        <v>88</v>
      </c>
    </row>
    <row r="85" spans="1:27" x14ac:dyDescent="0.25">
      <c r="A85" s="15" t="s">
        <v>339</v>
      </c>
      <c r="B85" s="5">
        <v>45794</v>
      </c>
      <c r="C85" s="5" t="str">
        <f>TEXT(Table1[[#This Row],[Date]],"mmmm")</f>
        <v>May</v>
      </c>
      <c r="D85" s="2" t="s">
        <v>207</v>
      </c>
      <c r="E85" s="2" t="s">
        <v>208</v>
      </c>
      <c r="F85" s="2" t="s">
        <v>91</v>
      </c>
      <c r="G85" s="2" t="s">
        <v>27</v>
      </c>
      <c r="H85" s="2" t="s">
        <v>38</v>
      </c>
      <c r="I85" s="28">
        <v>0.3125</v>
      </c>
      <c r="J85" s="28">
        <v>0.71250000000000002</v>
      </c>
      <c r="K85" s="3">
        <v>376</v>
      </c>
      <c r="L85" s="6">
        <v>9.6</v>
      </c>
      <c r="M85" s="2" t="s">
        <v>42</v>
      </c>
      <c r="N85" s="9">
        <v>460</v>
      </c>
      <c r="O85" s="7">
        <v>101.4</v>
      </c>
      <c r="P85" s="36">
        <v>96330</v>
      </c>
      <c r="Q85" s="36">
        <f>Table1[[#This Row],[Fuel Cost (NGN)]]/Table1[[#This Row],[Distance (km)]]</f>
        <v>256.19680851063828</v>
      </c>
      <c r="R85" s="45">
        <v>3.7080867850098618</v>
      </c>
      <c r="S85" s="49">
        <v>307.23913043478262</v>
      </c>
      <c r="T85" s="36">
        <v>5000</v>
      </c>
      <c r="U85" s="36">
        <v>0</v>
      </c>
      <c r="V85" s="36">
        <v>40000</v>
      </c>
      <c r="W85" s="36" t="s">
        <v>427</v>
      </c>
      <c r="X85" s="36">
        <v>141330</v>
      </c>
      <c r="Y85" s="36" t="str">
        <f>IF(OR(Table1[[#This Row],[Trip Status]]="Failed",Table1[[#This Row],[Trip Status]]="Delayed"),"Issue","Normal")</f>
        <v>Normal</v>
      </c>
      <c r="Z85" s="2" t="s">
        <v>87</v>
      </c>
      <c r="AA85" s="16" t="s">
        <v>88</v>
      </c>
    </row>
    <row r="86" spans="1:27" x14ac:dyDescent="0.25">
      <c r="A86" s="15" t="s">
        <v>342</v>
      </c>
      <c r="B86" s="5">
        <v>45850</v>
      </c>
      <c r="C86" s="5" t="str">
        <f>TEXT(Table1[[#This Row],[Date]],"mmmm")</f>
        <v>July</v>
      </c>
      <c r="D86" s="2" t="s">
        <v>65</v>
      </c>
      <c r="E86" s="2" t="s">
        <v>66</v>
      </c>
      <c r="F86" s="2" t="s">
        <v>25</v>
      </c>
      <c r="G86" s="2" t="s">
        <v>112</v>
      </c>
      <c r="H86" s="2" t="s">
        <v>60</v>
      </c>
      <c r="I86" s="28">
        <v>0.3125</v>
      </c>
      <c r="J86" s="28">
        <v>0.64166666666666672</v>
      </c>
      <c r="K86" s="3">
        <v>438</v>
      </c>
      <c r="L86" s="6">
        <v>7.9</v>
      </c>
      <c r="M86" s="2" t="s">
        <v>128</v>
      </c>
      <c r="N86" s="9">
        <v>103</v>
      </c>
      <c r="O86" s="7">
        <v>110.4</v>
      </c>
      <c r="P86" s="36">
        <v>104880</v>
      </c>
      <c r="Q86" s="36">
        <f>Table1[[#This Row],[Fuel Cost (NGN)]]/Table1[[#This Row],[Distance (km)]]</f>
        <v>239.45205479452054</v>
      </c>
      <c r="R86" s="45">
        <v>3.9673913043478257</v>
      </c>
      <c r="S86" s="49">
        <v>1134.7572815533981</v>
      </c>
      <c r="T86" s="36">
        <v>12000</v>
      </c>
      <c r="U86" s="36">
        <v>0</v>
      </c>
      <c r="V86" s="36">
        <v>0</v>
      </c>
      <c r="W86" s="36" t="s">
        <v>428</v>
      </c>
      <c r="X86" s="36">
        <v>116880</v>
      </c>
      <c r="Y86" s="36" t="str">
        <f>IF(OR(Table1[[#This Row],[Trip Status]]="Failed",Table1[[#This Row],[Trip Status]]="Delayed"),"Issue","Normal")</f>
        <v>Normal</v>
      </c>
      <c r="Z86" s="2" t="s">
        <v>87</v>
      </c>
      <c r="AA86" s="16" t="s">
        <v>88</v>
      </c>
    </row>
    <row r="87" spans="1:27" x14ac:dyDescent="0.25">
      <c r="A87" s="15" t="s">
        <v>344</v>
      </c>
      <c r="B87" s="5">
        <v>45884</v>
      </c>
      <c r="C87" s="5" t="str">
        <f>TEXT(Table1[[#This Row],[Date]],"mmmm")</f>
        <v>August</v>
      </c>
      <c r="D87" s="2" t="s">
        <v>142</v>
      </c>
      <c r="E87" s="2" t="s">
        <v>143</v>
      </c>
      <c r="F87" s="2" t="s">
        <v>186</v>
      </c>
      <c r="G87" s="2" t="s">
        <v>39</v>
      </c>
      <c r="H87" s="2" t="s">
        <v>26</v>
      </c>
      <c r="I87" s="28">
        <v>0.35416666666666669</v>
      </c>
      <c r="J87" s="28">
        <v>0.80833333333333324</v>
      </c>
      <c r="K87" s="3">
        <v>512</v>
      </c>
      <c r="L87" s="6">
        <v>10.9</v>
      </c>
      <c r="M87" s="2" t="s">
        <v>30</v>
      </c>
      <c r="N87" s="9">
        <v>490</v>
      </c>
      <c r="O87" s="7">
        <v>133.6</v>
      </c>
      <c r="P87" s="36">
        <v>126920</v>
      </c>
      <c r="Q87" s="36">
        <f>Table1[[#This Row],[Fuel Cost (NGN)]]/Table1[[#This Row],[Distance (km)]]</f>
        <v>247.890625</v>
      </c>
      <c r="R87" s="45">
        <v>3.8323353293413174</v>
      </c>
      <c r="S87" s="49">
        <v>368.20408163265307</v>
      </c>
      <c r="T87" s="36">
        <v>12000</v>
      </c>
      <c r="U87" s="36">
        <v>1500</v>
      </c>
      <c r="V87" s="36">
        <v>40000</v>
      </c>
      <c r="W87" s="36" t="s">
        <v>427</v>
      </c>
      <c r="X87" s="36">
        <v>180420</v>
      </c>
      <c r="Y87" s="36" t="str">
        <f>IF(OR(Table1[[#This Row],[Trip Status]]="Failed",Table1[[#This Row],[Trip Status]]="Delayed"),"Issue","Normal")</f>
        <v>Issue</v>
      </c>
      <c r="Z87" s="2" t="s">
        <v>236</v>
      </c>
      <c r="AA87" s="16" t="s">
        <v>32</v>
      </c>
    </row>
    <row r="88" spans="1:27" x14ac:dyDescent="0.25">
      <c r="A88" s="15" t="s">
        <v>346</v>
      </c>
      <c r="B88" s="5">
        <v>45815</v>
      </c>
      <c r="C88" s="5" t="str">
        <f>TEXT(Table1[[#This Row],[Date]],"mmmm")</f>
        <v>June</v>
      </c>
      <c r="D88" s="2" t="s">
        <v>207</v>
      </c>
      <c r="E88" s="2" t="s">
        <v>208</v>
      </c>
      <c r="F88" s="2" t="s">
        <v>111</v>
      </c>
      <c r="G88" s="2" t="s">
        <v>77</v>
      </c>
      <c r="H88" s="2" t="s">
        <v>26</v>
      </c>
      <c r="I88" s="28">
        <v>0.21875</v>
      </c>
      <c r="J88" s="28">
        <v>0.31041666666666667</v>
      </c>
      <c r="K88" s="3">
        <v>116</v>
      </c>
      <c r="L88" s="6">
        <v>2.2000000000000002</v>
      </c>
      <c r="M88" s="2" t="s">
        <v>54</v>
      </c>
      <c r="N88" s="9">
        <v>311</v>
      </c>
      <c r="O88" s="7">
        <v>26.6</v>
      </c>
      <c r="P88" s="36">
        <v>25270</v>
      </c>
      <c r="Q88" s="36">
        <f>Table1[[#This Row],[Fuel Cost (NGN)]]/Table1[[#This Row],[Distance (km)]]</f>
        <v>217.84482758620689</v>
      </c>
      <c r="R88" s="45">
        <v>4.3609022556390977</v>
      </c>
      <c r="S88" s="49">
        <v>177.71704180064307</v>
      </c>
      <c r="T88" s="36">
        <v>5000</v>
      </c>
      <c r="U88" s="36">
        <v>0</v>
      </c>
      <c r="V88" s="36">
        <v>25000</v>
      </c>
      <c r="W88" s="36" t="s">
        <v>427</v>
      </c>
      <c r="X88" s="36">
        <v>55270</v>
      </c>
      <c r="Y88" s="36" t="str">
        <f>IF(OR(Table1[[#This Row],[Trip Status]]="Failed",Table1[[#This Row],[Trip Status]]="Delayed"),"Issue","Normal")</f>
        <v>Issue</v>
      </c>
      <c r="Z88" s="2" t="s">
        <v>236</v>
      </c>
      <c r="AA88" s="16" t="s">
        <v>32</v>
      </c>
    </row>
    <row r="89" spans="1:27" x14ac:dyDescent="0.25">
      <c r="A89" s="15" t="s">
        <v>348</v>
      </c>
      <c r="B89" s="5">
        <v>45878</v>
      </c>
      <c r="C89" s="5" t="str">
        <f>TEXT(Table1[[#This Row],[Date]],"mmmm")</f>
        <v>August</v>
      </c>
      <c r="D89" s="2" t="s">
        <v>102</v>
      </c>
      <c r="E89" s="2" t="s">
        <v>103</v>
      </c>
      <c r="F89" s="2" t="s">
        <v>91</v>
      </c>
      <c r="G89" s="2" t="s">
        <v>77</v>
      </c>
      <c r="H89" s="2" t="s">
        <v>105</v>
      </c>
      <c r="I89" s="28">
        <v>0.27083333333333331</v>
      </c>
      <c r="J89" s="28">
        <v>2.0833333333333332E-2</v>
      </c>
      <c r="K89" s="3">
        <v>780</v>
      </c>
      <c r="L89" s="6">
        <v>18</v>
      </c>
      <c r="M89" s="2" t="s">
        <v>86</v>
      </c>
      <c r="N89" s="9">
        <v>496</v>
      </c>
      <c r="O89" s="7">
        <v>219.3</v>
      </c>
      <c r="P89" s="36">
        <v>208335</v>
      </c>
      <c r="Q89" s="36">
        <f>Table1[[#This Row],[Fuel Cost (NGN)]]/Table1[[#This Row],[Distance (km)]]</f>
        <v>267.09615384615387</v>
      </c>
      <c r="R89" s="45">
        <v>3.5567715458276332</v>
      </c>
      <c r="S89" s="49">
        <v>462.36895161290323</v>
      </c>
      <c r="T89" s="36">
        <v>5000</v>
      </c>
      <c r="U89" s="36">
        <v>1000</v>
      </c>
      <c r="V89" s="36">
        <v>15000</v>
      </c>
      <c r="W89" s="36" t="s">
        <v>427</v>
      </c>
      <c r="X89" s="36">
        <v>229335</v>
      </c>
      <c r="Y89" s="36" t="str">
        <f>IF(OR(Table1[[#This Row],[Trip Status]]="Failed",Table1[[#This Row],[Trip Status]]="Delayed"),"Issue","Normal")</f>
        <v>Issue</v>
      </c>
      <c r="Z89" s="2" t="s">
        <v>31</v>
      </c>
      <c r="AA89" s="16" t="s">
        <v>32</v>
      </c>
    </row>
    <row r="90" spans="1:27" x14ac:dyDescent="0.25">
      <c r="A90" s="15" t="s">
        <v>351</v>
      </c>
      <c r="B90" s="5">
        <v>45865</v>
      </c>
      <c r="C90" s="5" t="str">
        <f>TEXT(Table1[[#This Row],[Date]],"mmmm")</f>
        <v>July</v>
      </c>
      <c r="D90" s="2" t="s">
        <v>74</v>
      </c>
      <c r="E90" s="2" t="s">
        <v>75</v>
      </c>
      <c r="F90" s="2" t="s">
        <v>104</v>
      </c>
      <c r="G90" s="2" t="s">
        <v>77</v>
      </c>
      <c r="H90" s="2" t="s">
        <v>27</v>
      </c>
      <c r="I90" s="28">
        <v>0.33333333333333331</v>
      </c>
      <c r="J90" s="28">
        <v>0.44166666666666665</v>
      </c>
      <c r="K90" s="3">
        <v>177</v>
      </c>
      <c r="L90" s="6">
        <v>2.6</v>
      </c>
      <c r="M90" s="2" t="s">
        <v>42</v>
      </c>
      <c r="N90" s="9">
        <v>521</v>
      </c>
      <c r="O90" s="7">
        <v>29.5</v>
      </c>
      <c r="P90" s="36">
        <v>28025</v>
      </c>
      <c r="Q90" s="36">
        <f>Table1[[#This Row],[Fuel Cost (NGN)]]/Table1[[#This Row],[Distance (km)]]</f>
        <v>158.33333333333334</v>
      </c>
      <c r="R90" s="45">
        <v>6</v>
      </c>
      <c r="S90" s="49">
        <v>97.936660268714007</v>
      </c>
      <c r="T90" s="36">
        <v>8000</v>
      </c>
      <c r="U90" s="36">
        <v>0</v>
      </c>
      <c r="V90" s="36">
        <v>15000</v>
      </c>
      <c r="W90" s="36" t="s">
        <v>427</v>
      </c>
      <c r="X90" s="36">
        <v>51025</v>
      </c>
      <c r="Y90" s="36" t="str">
        <f>IF(OR(Table1[[#This Row],[Trip Status]]="Failed",Table1[[#This Row],[Trip Status]]="Delayed"),"Issue","Normal")</f>
        <v>Normal</v>
      </c>
      <c r="Z90" s="2" t="s">
        <v>43</v>
      </c>
      <c r="AA90" s="16" t="s">
        <v>44</v>
      </c>
    </row>
    <row r="91" spans="1:27" x14ac:dyDescent="0.25">
      <c r="A91" s="15" t="s">
        <v>354</v>
      </c>
      <c r="B91" s="5">
        <v>45712</v>
      </c>
      <c r="C91" s="5" t="str">
        <f>TEXT(Table1[[#This Row],[Date]],"mmmm")</f>
        <v>February</v>
      </c>
      <c r="D91" s="2" t="s">
        <v>23</v>
      </c>
      <c r="E91" s="2" t="s">
        <v>24</v>
      </c>
      <c r="F91" s="2" t="s">
        <v>186</v>
      </c>
      <c r="G91" s="2" t="s">
        <v>26</v>
      </c>
      <c r="H91" s="2" t="s">
        <v>77</v>
      </c>
      <c r="I91" s="28">
        <v>0.23958333333333334</v>
      </c>
      <c r="J91" s="28">
        <v>0.67708333333333337</v>
      </c>
      <c r="K91" s="3">
        <v>596</v>
      </c>
      <c r="L91" s="6">
        <v>10.5</v>
      </c>
      <c r="M91" s="2" t="s">
        <v>108</v>
      </c>
      <c r="N91" s="9">
        <v>391</v>
      </c>
      <c r="O91" s="7">
        <v>102.1</v>
      </c>
      <c r="P91" s="36">
        <v>96995</v>
      </c>
      <c r="Q91" s="36">
        <f>Table1[[#This Row],[Fuel Cost (NGN)]]/Table1[[#This Row],[Distance (km)]]</f>
        <v>162.74328859060404</v>
      </c>
      <c r="R91" s="45">
        <v>5.8374142997061709</v>
      </c>
      <c r="S91" s="49">
        <v>265.97186700767264</v>
      </c>
      <c r="T91" s="36">
        <v>5000</v>
      </c>
      <c r="U91" s="36">
        <v>2000</v>
      </c>
      <c r="V91" s="36">
        <v>0</v>
      </c>
      <c r="W91" s="36" t="s">
        <v>428</v>
      </c>
      <c r="X91" s="36">
        <v>103995</v>
      </c>
      <c r="Y91" s="36" t="str">
        <f>IF(OR(Table1[[#This Row],[Trip Status]]="Failed",Table1[[#This Row],[Trip Status]]="Delayed"),"Issue","Normal")</f>
        <v>Issue</v>
      </c>
      <c r="Z91" s="2" t="s">
        <v>31</v>
      </c>
      <c r="AA91" s="16" t="s">
        <v>32</v>
      </c>
    </row>
    <row r="92" spans="1:27" x14ac:dyDescent="0.25">
      <c r="A92" s="15" t="s">
        <v>357</v>
      </c>
      <c r="B92" s="5">
        <v>45919</v>
      </c>
      <c r="C92" s="5" t="str">
        <f>TEXT(Table1[[#This Row],[Date]],"mmmm")</f>
        <v>September</v>
      </c>
      <c r="D92" s="2" t="s">
        <v>23</v>
      </c>
      <c r="E92" s="2" t="s">
        <v>24</v>
      </c>
      <c r="F92" s="2" t="s">
        <v>171</v>
      </c>
      <c r="G92" s="2" t="s">
        <v>172</v>
      </c>
      <c r="H92" s="2" t="s">
        <v>112</v>
      </c>
      <c r="I92" s="28">
        <v>0.26041666666666669</v>
      </c>
      <c r="J92" s="28">
        <v>0.63124999999999998</v>
      </c>
      <c r="K92" s="3">
        <v>419</v>
      </c>
      <c r="L92" s="6">
        <v>8.9</v>
      </c>
      <c r="M92" s="2" t="s">
        <v>54</v>
      </c>
      <c r="N92" s="9">
        <v>206</v>
      </c>
      <c r="O92" s="7">
        <v>72.5</v>
      </c>
      <c r="P92" s="36">
        <v>68875</v>
      </c>
      <c r="Q92" s="36">
        <f>Table1[[#This Row],[Fuel Cost (NGN)]]/Table1[[#This Row],[Distance (km)]]</f>
        <v>164.37947494033412</v>
      </c>
      <c r="R92" s="45">
        <v>5.7793103448275858</v>
      </c>
      <c r="S92" s="49">
        <v>482.40291262135923</v>
      </c>
      <c r="T92" s="36">
        <v>5000</v>
      </c>
      <c r="U92" s="36">
        <v>500</v>
      </c>
      <c r="V92" s="36">
        <v>25000</v>
      </c>
      <c r="W92" s="36" t="s">
        <v>427</v>
      </c>
      <c r="X92" s="36">
        <v>99375</v>
      </c>
      <c r="Y92" s="36" t="str">
        <f>IF(OR(Table1[[#This Row],[Trip Status]]="Failed",Table1[[#This Row],[Trip Status]]="Delayed"),"Issue","Normal")</f>
        <v>Normal</v>
      </c>
      <c r="Z92" s="2" t="s">
        <v>87</v>
      </c>
      <c r="AA92" s="16" t="s">
        <v>88</v>
      </c>
    </row>
    <row r="93" spans="1:27" x14ac:dyDescent="0.25">
      <c r="A93" s="15" t="s">
        <v>361</v>
      </c>
      <c r="B93" s="5">
        <v>45887</v>
      </c>
      <c r="C93" s="5" t="str">
        <f>TEXT(Table1[[#This Row],[Date]],"mmmm")</f>
        <v>August</v>
      </c>
      <c r="D93" s="2" t="s">
        <v>142</v>
      </c>
      <c r="E93" s="2" t="s">
        <v>143</v>
      </c>
      <c r="F93" s="2" t="s">
        <v>171</v>
      </c>
      <c r="G93" s="2" t="s">
        <v>84</v>
      </c>
      <c r="H93" s="2" t="s">
        <v>26</v>
      </c>
      <c r="I93" s="28">
        <v>0.39583333333333331</v>
      </c>
      <c r="J93" s="28">
        <v>0.5</v>
      </c>
      <c r="K93" s="3">
        <v>106</v>
      </c>
      <c r="L93" s="6">
        <v>2.5</v>
      </c>
      <c r="M93" s="2" t="s">
        <v>54</v>
      </c>
      <c r="N93" s="9">
        <v>500</v>
      </c>
      <c r="O93" s="7">
        <v>28.6</v>
      </c>
      <c r="P93" s="36">
        <v>27170</v>
      </c>
      <c r="Q93" s="36">
        <f>Table1[[#This Row],[Fuel Cost (NGN)]]/Table1[[#This Row],[Distance (km)]]</f>
        <v>256.32075471698113</v>
      </c>
      <c r="R93" s="45">
        <v>3.7062937062937062</v>
      </c>
      <c r="S93" s="49">
        <v>89.34</v>
      </c>
      <c r="T93" s="36">
        <v>10000</v>
      </c>
      <c r="U93" s="36">
        <v>2500</v>
      </c>
      <c r="V93" s="36">
        <v>5000</v>
      </c>
      <c r="W93" s="36" t="s">
        <v>427</v>
      </c>
      <c r="X93" s="36">
        <v>44670</v>
      </c>
      <c r="Y93" s="36" t="str">
        <f>IF(OR(Table1[[#This Row],[Trip Status]]="Failed",Table1[[#This Row],[Trip Status]]="Delayed"),"Issue","Normal")</f>
        <v>Normal</v>
      </c>
      <c r="Z93" s="2" t="s">
        <v>43</v>
      </c>
      <c r="AA93" s="16" t="s">
        <v>44</v>
      </c>
    </row>
    <row r="94" spans="1:27" x14ac:dyDescent="0.25">
      <c r="A94" s="15" t="s">
        <v>364</v>
      </c>
      <c r="B94" s="5">
        <v>45798</v>
      </c>
      <c r="C94" s="5" t="str">
        <f>TEXT(Table1[[#This Row],[Date]],"mmmm")</f>
        <v>May</v>
      </c>
      <c r="D94" s="2" t="s">
        <v>81</v>
      </c>
      <c r="E94" s="2" t="s">
        <v>82</v>
      </c>
      <c r="F94" s="2" t="s">
        <v>37</v>
      </c>
      <c r="G94" s="2" t="s">
        <v>112</v>
      </c>
      <c r="H94" s="2" t="s">
        <v>105</v>
      </c>
      <c r="I94" s="28">
        <v>0.32291666666666669</v>
      </c>
      <c r="J94" s="28">
        <v>0.41041666666666665</v>
      </c>
      <c r="K94" s="3">
        <v>135</v>
      </c>
      <c r="L94" s="6">
        <v>2.1</v>
      </c>
      <c r="M94" s="2" t="s">
        <v>94</v>
      </c>
      <c r="N94" s="9">
        <v>128</v>
      </c>
      <c r="O94" s="7">
        <v>24.8</v>
      </c>
      <c r="P94" s="36">
        <v>23560</v>
      </c>
      <c r="Q94" s="36">
        <f>Table1[[#This Row],[Fuel Cost (NGN)]]/Table1[[#This Row],[Distance (km)]]</f>
        <v>174.5185185185185</v>
      </c>
      <c r="R94" s="45">
        <v>5.443548387096774</v>
      </c>
      <c r="S94" s="49">
        <v>551.25</v>
      </c>
      <c r="T94" s="36">
        <v>5000</v>
      </c>
      <c r="U94" s="36">
        <v>2000</v>
      </c>
      <c r="V94" s="36">
        <v>40000</v>
      </c>
      <c r="W94" s="36" t="s">
        <v>427</v>
      </c>
      <c r="X94" s="36">
        <v>70560</v>
      </c>
      <c r="Y94" s="36" t="str">
        <f>IF(OR(Table1[[#This Row],[Trip Status]]="Failed",Table1[[#This Row],[Trip Status]]="Delayed"),"Issue","Normal")</f>
        <v>Normal</v>
      </c>
      <c r="Z94" s="2" t="s">
        <v>87</v>
      </c>
      <c r="AA94" s="16" t="s">
        <v>88</v>
      </c>
    </row>
    <row r="95" spans="1:27" x14ac:dyDescent="0.25">
      <c r="A95" s="15" t="s">
        <v>366</v>
      </c>
      <c r="B95" s="5">
        <v>45894</v>
      </c>
      <c r="C95" s="5" t="str">
        <f>TEXT(Table1[[#This Row],[Date]],"mmmm")</f>
        <v>August</v>
      </c>
      <c r="D95" s="2" t="s">
        <v>81</v>
      </c>
      <c r="E95" s="2" t="s">
        <v>82</v>
      </c>
      <c r="F95" s="2" t="s">
        <v>256</v>
      </c>
      <c r="G95" s="2" t="s">
        <v>172</v>
      </c>
      <c r="H95" s="2" t="s">
        <v>38</v>
      </c>
      <c r="I95" s="28">
        <v>0.34375</v>
      </c>
      <c r="J95" s="28">
        <v>0.44375000000000003</v>
      </c>
      <c r="K95" s="3">
        <v>102</v>
      </c>
      <c r="L95" s="6">
        <v>2.4</v>
      </c>
      <c r="M95" s="2" t="s">
        <v>54</v>
      </c>
      <c r="N95" s="9">
        <v>113</v>
      </c>
      <c r="O95" s="7">
        <v>21</v>
      </c>
      <c r="P95" s="36">
        <v>19950</v>
      </c>
      <c r="Q95" s="36">
        <f>Table1[[#This Row],[Fuel Cost (NGN)]]/Table1[[#This Row],[Distance (km)]]</f>
        <v>195.58823529411765</v>
      </c>
      <c r="R95" s="45">
        <v>4.8571428571428568</v>
      </c>
      <c r="S95" s="49">
        <v>269.46902654867256</v>
      </c>
      <c r="T95" s="36">
        <v>8000</v>
      </c>
      <c r="U95" s="36">
        <v>2500</v>
      </c>
      <c r="V95" s="36">
        <v>0</v>
      </c>
      <c r="W95" s="36" t="s">
        <v>428</v>
      </c>
      <c r="X95" s="36">
        <v>30450</v>
      </c>
      <c r="Y95" s="36" t="str">
        <f>IF(OR(Table1[[#This Row],[Trip Status]]="Failed",Table1[[#This Row],[Trip Status]]="Delayed"),"Issue","Normal")</f>
        <v>Issue</v>
      </c>
      <c r="Z95" s="2" t="s">
        <v>31</v>
      </c>
      <c r="AA95" s="16" t="s">
        <v>32</v>
      </c>
    </row>
    <row r="96" spans="1:27" x14ac:dyDescent="0.25">
      <c r="A96" s="15" t="s">
        <v>368</v>
      </c>
      <c r="B96" s="5">
        <v>45746</v>
      </c>
      <c r="C96" s="5" t="str">
        <f>TEXT(Table1[[#This Row],[Date]],"mmmm")</f>
        <v>March</v>
      </c>
      <c r="D96" s="2" t="s">
        <v>207</v>
      </c>
      <c r="E96" s="2" t="s">
        <v>208</v>
      </c>
      <c r="F96" s="2" t="s">
        <v>111</v>
      </c>
      <c r="G96" s="2" t="s">
        <v>38</v>
      </c>
      <c r="H96" s="2" t="s">
        <v>39</v>
      </c>
      <c r="I96" s="28">
        <v>0.38541666666666669</v>
      </c>
      <c r="J96" s="28">
        <v>0.84791666666666676</v>
      </c>
      <c r="K96" s="3">
        <v>509</v>
      </c>
      <c r="L96" s="6">
        <v>11.1</v>
      </c>
      <c r="M96" s="2" t="s">
        <v>120</v>
      </c>
      <c r="N96" s="9">
        <v>468</v>
      </c>
      <c r="O96" s="7">
        <v>87.4</v>
      </c>
      <c r="P96" s="36">
        <v>83030</v>
      </c>
      <c r="Q96" s="36">
        <f>Table1[[#This Row],[Fuel Cost (NGN)]]/Table1[[#This Row],[Distance (km)]]</f>
        <v>163.1237721021611</v>
      </c>
      <c r="R96" s="45">
        <v>5.8237986270022883</v>
      </c>
      <c r="S96" s="49">
        <v>224.42307692307693</v>
      </c>
      <c r="T96" s="36">
        <v>12000</v>
      </c>
      <c r="U96" s="36">
        <v>0</v>
      </c>
      <c r="V96" s="36">
        <v>10000</v>
      </c>
      <c r="W96" s="36" t="s">
        <v>427</v>
      </c>
      <c r="X96" s="36">
        <v>105030</v>
      </c>
      <c r="Y96" s="36" t="str">
        <f>IF(OR(Table1[[#This Row],[Trip Status]]="Failed",Table1[[#This Row],[Trip Status]]="Delayed"),"Issue","Normal")</f>
        <v>Normal</v>
      </c>
      <c r="Z96" s="2" t="s">
        <v>87</v>
      </c>
      <c r="AA96" s="16" t="s">
        <v>88</v>
      </c>
    </row>
    <row r="97" spans="1:27" x14ac:dyDescent="0.25">
      <c r="A97" s="15" t="s">
        <v>371</v>
      </c>
      <c r="B97" s="5">
        <v>45826</v>
      </c>
      <c r="C97" s="5" t="str">
        <f>TEXT(Table1[[#This Row],[Date]],"mmmm")</f>
        <v>June</v>
      </c>
      <c r="D97" s="2" t="s">
        <v>47</v>
      </c>
      <c r="E97" s="2" t="s">
        <v>48</v>
      </c>
      <c r="F97" s="2" t="s">
        <v>256</v>
      </c>
      <c r="G97" s="2" t="s">
        <v>125</v>
      </c>
      <c r="H97" s="2" t="s">
        <v>77</v>
      </c>
      <c r="I97" s="28">
        <v>0.30208333333333331</v>
      </c>
      <c r="J97" s="28">
        <v>0.61041666666666672</v>
      </c>
      <c r="K97" s="3">
        <v>350</v>
      </c>
      <c r="L97" s="6">
        <v>7.4</v>
      </c>
      <c r="M97" s="2" t="s">
        <v>54</v>
      </c>
      <c r="N97" s="9">
        <v>408</v>
      </c>
      <c r="O97" s="7">
        <v>79</v>
      </c>
      <c r="P97" s="36">
        <v>75050</v>
      </c>
      <c r="Q97" s="36">
        <f>Table1[[#This Row],[Fuel Cost (NGN)]]/Table1[[#This Row],[Distance (km)]]</f>
        <v>214.42857142857142</v>
      </c>
      <c r="R97" s="45">
        <v>4.4303797468354427</v>
      </c>
      <c r="S97" s="49">
        <v>209.68137254901961</v>
      </c>
      <c r="T97" s="36">
        <v>10000</v>
      </c>
      <c r="U97" s="36">
        <v>500</v>
      </c>
      <c r="V97" s="36">
        <v>0</v>
      </c>
      <c r="W97" s="36" t="s">
        <v>428</v>
      </c>
      <c r="X97" s="36">
        <v>85550</v>
      </c>
      <c r="Y97" s="36" t="str">
        <f>IF(OR(Table1[[#This Row],[Trip Status]]="Failed",Table1[[#This Row],[Trip Status]]="Delayed"),"Issue","Normal")</f>
        <v>Normal</v>
      </c>
      <c r="Z97" s="2" t="s">
        <v>87</v>
      </c>
      <c r="AA97" s="16" t="s">
        <v>88</v>
      </c>
    </row>
    <row r="98" spans="1:27" x14ac:dyDescent="0.25">
      <c r="A98" s="15" t="s">
        <v>374</v>
      </c>
      <c r="B98" s="5">
        <v>45850</v>
      </c>
      <c r="C98" s="5" t="str">
        <f>TEXT(Table1[[#This Row],[Date]],"mmmm")</f>
        <v>July</v>
      </c>
      <c r="D98" s="2" t="s">
        <v>142</v>
      </c>
      <c r="E98" s="2" t="s">
        <v>143</v>
      </c>
      <c r="F98" s="2" t="s">
        <v>176</v>
      </c>
      <c r="G98" s="2" t="s">
        <v>112</v>
      </c>
      <c r="H98" s="2" t="s">
        <v>51</v>
      </c>
      <c r="I98" s="28">
        <v>0.375</v>
      </c>
      <c r="J98" s="28">
        <v>0.52500000000000002</v>
      </c>
      <c r="K98" s="3">
        <v>190</v>
      </c>
      <c r="L98" s="6">
        <v>3.6</v>
      </c>
      <c r="M98" s="2" t="s">
        <v>30</v>
      </c>
      <c r="N98" s="9">
        <v>68</v>
      </c>
      <c r="O98" s="7">
        <v>41.4</v>
      </c>
      <c r="P98" s="36">
        <v>39330</v>
      </c>
      <c r="Q98" s="36">
        <f>Table1[[#This Row],[Fuel Cost (NGN)]]/Table1[[#This Row],[Distance (km)]]</f>
        <v>207</v>
      </c>
      <c r="R98" s="45">
        <v>4.5893719806763285</v>
      </c>
      <c r="S98" s="49">
        <v>835.73529411764707</v>
      </c>
      <c r="T98" s="36">
        <v>7000</v>
      </c>
      <c r="U98" s="36">
        <v>500</v>
      </c>
      <c r="V98" s="36">
        <v>10000</v>
      </c>
      <c r="W98" s="36" t="s">
        <v>427</v>
      </c>
      <c r="X98" s="36">
        <v>56830</v>
      </c>
      <c r="Y98" s="36" t="str">
        <f>IF(OR(Table1[[#This Row],[Trip Status]]="Failed",Table1[[#This Row],[Trip Status]]="Delayed"),"Issue","Normal")</f>
        <v>Normal</v>
      </c>
      <c r="Z98" s="2" t="s">
        <v>43</v>
      </c>
      <c r="AA98" s="16" t="s">
        <v>44</v>
      </c>
    </row>
    <row r="99" spans="1:27" x14ac:dyDescent="0.25">
      <c r="A99" s="15" t="s">
        <v>375</v>
      </c>
      <c r="B99" s="5">
        <v>45906</v>
      </c>
      <c r="C99" s="5" t="str">
        <f>TEXT(Table1[[#This Row],[Date]],"mmmm")</f>
        <v>September</v>
      </c>
      <c r="D99" s="2" t="s">
        <v>23</v>
      </c>
      <c r="E99" s="2" t="s">
        <v>24</v>
      </c>
      <c r="F99" s="2" t="s">
        <v>111</v>
      </c>
      <c r="G99" s="2" t="s">
        <v>60</v>
      </c>
      <c r="H99" s="2" t="s">
        <v>84</v>
      </c>
      <c r="I99" s="28">
        <v>0.29166666666666669</v>
      </c>
      <c r="J99" s="28">
        <v>0.42083333333333334</v>
      </c>
      <c r="K99" s="3">
        <v>139</v>
      </c>
      <c r="L99" s="6">
        <v>3.1</v>
      </c>
      <c r="M99" s="2" t="s">
        <v>62</v>
      </c>
      <c r="N99" s="9">
        <v>88</v>
      </c>
      <c r="O99" s="7">
        <v>25.3</v>
      </c>
      <c r="P99" s="36">
        <v>24035</v>
      </c>
      <c r="Q99" s="36">
        <f>Table1[[#This Row],[Fuel Cost (NGN)]]/Table1[[#This Row],[Distance (km)]]</f>
        <v>172.91366906474821</v>
      </c>
      <c r="R99" s="45">
        <v>5.4940711462450595</v>
      </c>
      <c r="S99" s="49">
        <v>585.625</v>
      </c>
      <c r="T99" s="36">
        <v>12000</v>
      </c>
      <c r="U99" s="36">
        <v>500</v>
      </c>
      <c r="V99" s="36">
        <v>15000</v>
      </c>
      <c r="W99" s="36" t="s">
        <v>427</v>
      </c>
      <c r="X99" s="36">
        <v>51535</v>
      </c>
      <c r="Y99" s="36" t="str">
        <f>IF(OR(Table1[[#This Row],[Trip Status]]="Failed",Table1[[#This Row],[Trip Status]]="Delayed"),"Issue","Normal")</f>
        <v>Normal</v>
      </c>
      <c r="Z99" s="2" t="s">
        <v>87</v>
      </c>
      <c r="AA99" s="16" t="s">
        <v>88</v>
      </c>
    </row>
    <row r="100" spans="1:27" x14ac:dyDescent="0.25">
      <c r="A100" s="15" t="s">
        <v>378</v>
      </c>
      <c r="B100" s="5">
        <v>45741</v>
      </c>
      <c r="C100" s="5" t="str">
        <f>TEXT(Table1[[#This Row],[Date]],"mmmm")</f>
        <v>March</v>
      </c>
      <c r="D100" s="2" t="s">
        <v>102</v>
      </c>
      <c r="E100" s="2" t="s">
        <v>103</v>
      </c>
      <c r="F100" s="2" t="s">
        <v>49</v>
      </c>
      <c r="G100" s="2" t="s">
        <v>38</v>
      </c>
      <c r="H100" s="2" t="s">
        <v>172</v>
      </c>
      <c r="I100" s="28">
        <v>0.28125</v>
      </c>
      <c r="J100" s="28">
        <v>0.92708333333333337</v>
      </c>
      <c r="K100" s="3">
        <v>699</v>
      </c>
      <c r="L100" s="6">
        <v>15.5</v>
      </c>
      <c r="M100" s="2" t="s">
        <v>108</v>
      </c>
      <c r="N100" s="9">
        <v>504</v>
      </c>
      <c r="O100" s="7">
        <v>131.1</v>
      </c>
      <c r="P100" s="36">
        <v>124545</v>
      </c>
      <c r="Q100" s="36">
        <f>Table1[[#This Row],[Fuel Cost (NGN)]]/Table1[[#This Row],[Distance (km)]]</f>
        <v>178.17596566523605</v>
      </c>
      <c r="R100" s="45">
        <v>5.3318077803203661</v>
      </c>
      <c r="S100" s="49">
        <v>347.31150793650795</v>
      </c>
      <c r="T100" s="36">
        <v>10000</v>
      </c>
      <c r="U100" s="36">
        <v>500</v>
      </c>
      <c r="V100" s="36">
        <v>40000</v>
      </c>
      <c r="W100" s="36" t="s">
        <v>427</v>
      </c>
      <c r="X100" s="36">
        <v>175045</v>
      </c>
      <c r="Y100" s="36" t="str">
        <f>IF(OR(Table1[[#This Row],[Trip Status]]="Failed",Table1[[#This Row],[Trip Status]]="Delayed"),"Issue","Normal")</f>
        <v>Normal</v>
      </c>
      <c r="Z100" s="2" t="s">
        <v>87</v>
      </c>
      <c r="AA100" s="16" t="s">
        <v>88</v>
      </c>
    </row>
    <row r="101" spans="1:27" x14ac:dyDescent="0.25">
      <c r="A101" s="20" t="s">
        <v>381</v>
      </c>
      <c r="B101" s="24">
        <v>45816</v>
      </c>
      <c r="C101" s="24" t="str">
        <f>TEXT(Table1[[#This Row],[Date]],"mmmm")</f>
        <v>June</v>
      </c>
      <c r="D101" s="21" t="s">
        <v>35</v>
      </c>
      <c r="E101" s="21" t="s">
        <v>36</v>
      </c>
      <c r="F101" s="21" t="s">
        <v>176</v>
      </c>
      <c r="G101" s="21" t="s">
        <v>39</v>
      </c>
      <c r="H101" s="21" t="s">
        <v>51</v>
      </c>
      <c r="I101" s="29">
        <v>0.32291666666666669</v>
      </c>
      <c r="J101" s="29">
        <v>0.5229166666666667</v>
      </c>
      <c r="K101" s="22">
        <v>258</v>
      </c>
      <c r="L101" s="26">
        <v>4.8</v>
      </c>
      <c r="M101" s="21" t="s">
        <v>120</v>
      </c>
      <c r="N101" s="34">
        <v>564</v>
      </c>
      <c r="O101" s="32">
        <v>50.8</v>
      </c>
      <c r="P101" s="37">
        <v>48260</v>
      </c>
      <c r="Q101" s="37">
        <f>Table1[[#This Row],[Fuel Cost (NGN)]]/Table1[[#This Row],[Distance (km)]]</f>
        <v>187.05426356589146</v>
      </c>
      <c r="R101" s="46">
        <v>5.0787401574803148</v>
      </c>
      <c r="S101" s="50">
        <v>98.865248226950357</v>
      </c>
      <c r="T101" s="37">
        <v>7000</v>
      </c>
      <c r="U101" s="37">
        <v>500</v>
      </c>
      <c r="V101" s="37">
        <v>0</v>
      </c>
      <c r="W101" s="37" t="s">
        <v>428</v>
      </c>
      <c r="X101" s="37">
        <v>55760</v>
      </c>
      <c r="Y101" s="37" t="str">
        <f>IF(OR(Table1[[#This Row],[Trip Status]]="Failed",Table1[[#This Row],[Trip Status]]="Delayed"),"Issue","Normal")</f>
        <v>Normal</v>
      </c>
      <c r="Z101" s="21" t="s">
        <v>43</v>
      </c>
      <c r="AA101" s="23" t="s">
        <v>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A4" sqref="A4"/>
    </sheetView>
  </sheetViews>
  <sheetFormatPr defaultRowHeight="15" x14ac:dyDescent="0.25"/>
  <sheetData>
    <row r="1" spans="1:20" ht="21" x14ac:dyDescent="0.35">
      <c r="B1" s="40" t="s">
        <v>420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9"/>
      <c r="P1" s="39"/>
      <c r="Q1" s="39"/>
      <c r="R1" s="39"/>
      <c r="S1" s="39"/>
      <c r="T1" s="39"/>
    </row>
    <row r="2" spans="1:20" x14ac:dyDescent="0.25">
      <c r="A2" t="s">
        <v>421</v>
      </c>
    </row>
    <row r="3" spans="1:20" x14ac:dyDescent="0.25">
      <c r="A3" t="s">
        <v>422</v>
      </c>
    </row>
    <row r="4" spans="1:20" x14ac:dyDescent="0.25">
      <c r="A4" t="s">
        <v>431</v>
      </c>
    </row>
    <row r="5" spans="1:20" x14ac:dyDescent="0.25">
      <c r="A5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Bussiness Questions</vt:lpstr>
      <vt:lpstr>Cleaned Data</vt:lpstr>
      <vt:lpstr>Cleaning Note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TOCHI</dc:creator>
  <cp:lastModifiedBy>TOCHI</cp:lastModifiedBy>
  <dcterms:created xsi:type="dcterms:W3CDTF">2026-09-26T00:36:17Z</dcterms:created>
  <dcterms:modified xsi:type="dcterms:W3CDTF">2026-10-17T07:17:10Z</dcterms:modified>
</cp:coreProperties>
</file>